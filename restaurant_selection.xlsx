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ed_Data" sheetId="3" state="visible" r:id="rId3"/>
    <sheet xmlns:r="http://schemas.openxmlformats.org/officeDocument/2006/relationships" name="Scoring" sheetId="4" state="visible" r:id="rId4"/>
    <sheet xmlns:r="http://schemas.openxmlformats.org/officeDocument/2006/relationships" name="Ranking" sheetId="5" state="visible" r:id="rId5"/>
    <sheet xmlns:r="http://schemas.openxmlformats.org/officeDocument/2006/relationships" name="HTML_Export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1F3864"/>
      <sz val="10"/>
    </font>
    <font>
      <name val="Arial"/>
      <family val="2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A0A0A0"/>
      <sz val="8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0D0D0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 wrapText="1"/>
    </xf>
    <xf numFmtId="0" fontId="8" fillId="3" borderId="1" applyAlignment="1" pivotButton="0" quotePrefix="0" xfId="0">
      <alignment horizontal="general" vertical="center"/>
    </xf>
    <xf numFmtId="0" fontId="8" fillId="3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/>
    </xf>
    <xf numFmtId="0" fontId="5" fillId="4" borderId="1" applyAlignment="1" pivotButton="0" quotePrefix="0" xfId="0">
      <alignment horizontal="general" vertical="center"/>
    </xf>
    <xf numFmtId="0" fontId="10" fillId="4" borderId="1" applyAlignment="1" pivotButton="0" quotePrefix="0" xfId="0">
      <alignment horizontal="general" vertical="center"/>
    </xf>
    <xf numFmtId="0" fontId="10" fillId="0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general" vertical="center"/>
    </xf>
    <xf numFmtId="164" fontId="11" fillId="0" borderId="1" applyAlignment="1" pivotButton="0" quotePrefix="0" xfId="0">
      <alignment horizontal="general" vertical="center"/>
    </xf>
    <xf numFmtId="164" fontId="10" fillId="0" borderId="1" applyAlignment="1" pivotButton="0" quotePrefix="0" xfId="0">
      <alignment horizontal="general" vertical="center"/>
    </xf>
    <xf numFmtId="0" fontId="12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 wrapText="1"/>
    </xf>
    <xf numFmtId="0" fontId="8" fillId="3" borderId="1" applyAlignment="1" pivotButton="0" quotePrefix="0" xfId="0">
      <alignment horizontal="general" vertical="center"/>
    </xf>
    <xf numFmtId="0" fontId="8" fillId="3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/>
    </xf>
    <xf numFmtId="0" fontId="5" fillId="4" borderId="1" applyAlignment="1" pivotButton="0" quotePrefix="0" xfId="0">
      <alignment horizontal="general" vertical="center"/>
    </xf>
    <xf numFmtId="0" fontId="10" fillId="4" borderId="1" applyAlignment="1" pivotButton="0" quotePrefix="0" xfId="0">
      <alignment horizontal="general" vertical="center"/>
    </xf>
    <xf numFmtId="0" fontId="10" fillId="0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general" vertical="center"/>
    </xf>
    <xf numFmtId="164" fontId="11" fillId="0" borderId="1" applyAlignment="1" pivotButton="0" quotePrefix="0" xfId="0">
      <alignment horizontal="general" vertical="center"/>
    </xf>
    <xf numFmtId="164" fontId="10" fillId="0" borderId="1" applyAlignment="1" pivotButton="0" quotePrefix="0" xfId="0">
      <alignment horizontal="general" vertical="center"/>
    </xf>
    <xf numFmtId="0" fontId="12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Append-only landing zone. One row per restaurant PER source. Never edit/delete. Yellow rows are SAMPLES - clear them and let your scraper / n8n write here.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K2" authorId="0" shapeId="0">
      <text>
        <t>Yellow cells (price/head, capacity, group, reservation, travel, uniqueness) are ESTIMATES - Google does not expose them. Verify via the Wongnai/Apify pass or a quick call.</t>
      </text>
    </comment>
    <comment ref="X2" authorId="0" shapeId="0">
      <text>
        <t>completeness_pct = share of 15 key fields populated. Feeds Data Completeness score.</t>
      </text>
    </comment>
    <comment ref="Y2" authorId="0" shapeId="0">
      <text>
        <t>hard_filter_pass: Y only if capacity_max &gt;= min_capacity and cuisine not in cuisine_veto. Only Y rows are ranked.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K1" authorId="0" shapeId="0">
      <text>
        <t>Helper: sortable key for the Ranking tab. Blank for rows that fail the hard filter. Leave as is.</t>
      </text>
    </comment>
    <comment ref="I2" authorId="0" shapeId="0">
      <text>
        <t>total_score = sum of six weighted sub-scores, out of 100. Each sub-score = normalized metric x its Config weight.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O1" authorId="0" shapeId="0">
      <text>
        <t>Helper that locates each ranked row. Leave as is.</t>
      </text>
    </comment>
    <comment ref="K2" authorId="0" shapeId="0">
      <text>
        <t>Auto-labels rank 1 as Top Pick. Overwrite to add Best Value / Most Convenient based on the AI trade-off analysis.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A1" authorId="0" shapeId="0">
      <text>
        <t>This tab is a flat, presentation-ready VIEW. Everything is referenced from Ranking + Cleaned_Data + Config - do not retype. Point your HTML report and n8n/Make push at this tab.</t>
      </text>
    </comment>
    <comment ref="B6" authorId="0" shapeId="0">
      <text>
        <t>AI fills: 2-3 cross-cutting insights for the report.</t>
      </text>
    </comment>
    <comment ref="B7" authorId="0" shapeId="0">
      <text>
        <t>AI fills: Top Pick vs Best Value vs Most Convenient narrative.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21" min="1" max="1"/>
    <col width="30" customWidth="1" style="21" min="2" max="2"/>
    <col width="46" customWidth="1" style="21" min="3" max="3"/>
  </cols>
  <sheetData>
    <row r="1" ht="15" customHeight="1" s="22">
      <c r="A1" s="23" t="inlineStr">
        <is>
          <t>parameter</t>
        </is>
      </c>
      <c r="B1" s="23" t="inlineStr">
        <is>
          <t>value</t>
        </is>
      </c>
      <c r="C1" s="23" t="inlineStr">
        <is>
          <t>notes</t>
        </is>
      </c>
    </row>
    <row r="2" ht="15" customHeight="1" s="22">
      <c r="A2" s="24" t="inlineStr">
        <is>
          <t>report_title</t>
        </is>
      </c>
      <c r="B2" s="25" t="inlineStr">
        <is>
          <t>Team Dinner Restaurant Selection</t>
        </is>
      </c>
      <c r="C2" s="26" t="inlineStr">
        <is>
          <t>Shown as the title on the HTML report</t>
        </is>
      </c>
    </row>
    <row r="3" ht="15" customHeight="1" s="22">
      <c r="A3" s="24" t="inlineStr">
        <is>
          <t>base_location_name</t>
        </is>
      </c>
      <c r="B3" s="25" t="inlineStr">
        <is>
          <t>Office - Asok, Bangkok</t>
        </is>
      </c>
      <c r="C3" s="26" t="inlineStr">
        <is>
          <t>Team base / origin point</t>
        </is>
      </c>
    </row>
    <row r="4" ht="15" customHeight="1" s="22">
      <c r="A4" s="24" t="inlineStr">
        <is>
          <t>base_lat</t>
        </is>
      </c>
      <c r="B4" s="25" t="n">
        <v>13.7367</v>
      </c>
      <c r="C4" s="26" t="inlineStr">
        <is>
          <t>Latitude of base point</t>
        </is>
      </c>
    </row>
    <row r="5" ht="15" customHeight="1" s="22">
      <c r="A5" s="24" t="inlineStr">
        <is>
          <t>base_lng</t>
        </is>
      </c>
      <c r="B5" s="25" t="n">
        <v>100.5602</v>
      </c>
      <c r="C5" s="26" t="inlineStr">
        <is>
          <t>Longitude of base point</t>
        </is>
      </c>
    </row>
    <row r="6" ht="15" customHeight="1" s="22">
      <c r="A6" s="24" t="inlineStr">
        <is>
          <t>radius_km</t>
        </is>
      </c>
      <c r="B6" s="25" t="n">
        <v>5</v>
      </c>
      <c r="C6" s="26" t="inlineStr">
        <is>
          <t>Search radius for scraping</t>
        </is>
      </c>
    </row>
    <row r="7" ht="15" customHeight="1" s="22">
      <c r="A7" s="24" t="inlineStr">
        <is>
          <t>target_group_size</t>
        </is>
      </c>
      <c r="B7" s="25" t="n">
        <v>10</v>
      </c>
      <c r="C7" s="26" t="inlineStr">
        <is>
          <t>8-12 people; drives group scoring</t>
        </is>
      </c>
    </row>
    <row r="8" ht="15" customHeight="1" s="22">
      <c r="A8" s="24" t="inlineStr">
        <is>
          <t>min_capacity</t>
        </is>
      </c>
      <c r="B8" s="25" t="n">
        <v>12</v>
      </c>
      <c r="C8" s="26" t="inlineStr">
        <is>
          <t>HARD FILTER: venue must seat at least this many</t>
        </is>
      </c>
    </row>
    <row r="9" ht="15" customHeight="1" s="22">
      <c r="A9" s="24" t="inlineStr">
        <is>
          <t>cuisine_veto</t>
        </is>
      </c>
      <c r="B9" s="25" t="n"/>
      <c r="C9" s="26" t="inlineStr">
        <is>
          <t>e.g. Seafood. Leave blank if no veto</t>
        </is>
      </c>
    </row>
    <row r="10" ht="15" customHeight="1" s="22">
      <c r="A10" s="24" t="inlineStr">
        <is>
          <t>price_band_target</t>
        </is>
      </c>
      <c r="B10" s="25" t="inlineStr">
        <is>
          <t>Mid-range</t>
        </is>
      </c>
      <c r="C10" s="26" t="inlineStr">
        <is>
          <t>Descriptive only</t>
        </is>
      </c>
    </row>
    <row r="11" ht="15" customHeight="1" s="22">
      <c r="A11" s="24" t="inlineStr">
        <is>
          <t>price_tier_target</t>
        </is>
      </c>
      <c r="B11" s="25" t="n">
        <v>2</v>
      </c>
      <c r="C11" s="26" t="inlineStr">
        <is>
          <t>Ideal tier 1=B .. 4=BBBB; price score peaks here</t>
        </is>
      </c>
    </row>
    <row r="12" ht="15" customHeight="1" s="22">
      <c r="A12" s="24" t="inlineStr">
        <is>
          <t>currency</t>
        </is>
      </c>
      <c r="B12" s="25" t="inlineStr">
        <is>
          <t>THB</t>
        </is>
      </c>
      <c r="C12" s="26" t="inlineStr">
        <is>
          <t>Currency for price per head</t>
        </is>
      </c>
    </row>
    <row r="13" ht="15" customHeight="1" s="22">
      <c r="A13" s="24" t="inlineStr">
        <is>
          <t>max_acceptable_travel_min</t>
        </is>
      </c>
      <c r="B13" s="25" t="n">
        <v>45</v>
      </c>
      <c r="C13" s="26" t="inlineStr">
        <is>
          <t>Travel beyond this scores 0 on convenience</t>
        </is>
      </c>
    </row>
    <row r="14" ht="15" customHeight="1" s="22">
      <c r="A14" s="24" t="inlineStr">
        <is>
          <t>review_full_n</t>
        </is>
      </c>
      <c r="B14" s="25" t="n">
        <v>200</v>
      </c>
      <c r="C14" s="26" t="inlineStr">
        <is>
          <t>Review count for full rating confidence</t>
        </is>
      </c>
    </row>
    <row r="15" ht="15" customHeight="1" s="22">
      <c r="A15" s="24" t="inlineStr">
        <is>
          <t>review_floor</t>
        </is>
      </c>
      <c r="B15" s="25" t="n">
        <v>0.5</v>
      </c>
      <c r="C15" s="26" t="inlineStr">
        <is>
          <t>Min rating-confidence weight when few reviews</t>
        </is>
      </c>
    </row>
    <row r="16" ht="15" customHeight="1" s="22">
      <c r="A16" s="24" t="inlineStr">
        <is>
          <t>generated_at</t>
        </is>
      </c>
      <c r="B16" s="25" t="inlineStr">
        <is>
          <t>2026-06-03</t>
        </is>
      </c>
      <c r="C16" s="26" t="inlineStr">
        <is>
          <t>Stamp shown on report</t>
        </is>
      </c>
    </row>
    <row r="17" ht="15" customHeight="1" s="22">
      <c r="A17" s="27" t="inlineStr">
        <is>
          <t>--- SCORING WEIGHTS (must sum to 100) ---</t>
        </is>
      </c>
      <c r="B17" s="27" t="n"/>
      <c r="C17" s="28" t="n"/>
    </row>
    <row r="18" ht="15" customHeight="1" s="22">
      <c r="A18" s="24" t="inlineStr">
        <is>
          <t>w_rating</t>
        </is>
      </c>
      <c r="B18" s="29" t="n">
        <v>25</v>
      </c>
      <c r="C18" s="26" t="inlineStr">
        <is>
          <t>Rating &amp; Review Quality</t>
        </is>
      </c>
    </row>
    <row r="19" ht="15" customHeight="1" s="22">
      <c r="A19" s="24" t="inlineStr">
        <is>
          <t>w_group</t>
        </is>
      </c>
      <c r="B19" s="29" t="n">
        <v>20</v>
      </c>
      <c r="C19" s="26" t="inlineStr">
        <is>
          <t>Group Suitability</t>
        </is>
      </c>
    </row>
    <row r="20" ht="15" customHeight="1" s="22">
      <c r="A20" s="24" t="inlineStr">
        <is>
          <t>w_price</t>
        </is>
      </c>
      <c r="B20" s="29" t="n">
        <v>15</v>
      </c>
      <c r="C20" s="26" t="inlineStr">
        <is>
          <t>Price Suitability</t>
        </is>
      </c>
    </row>
    <row r="21" ht="15" customHeight="1" s="22">
      <c r="A21" s="24" t="inlineStr">
        <is>
          <t>w_travel</t>
        </is>
      </c>
      <c r="B21" s="29" t="n">
        <v>15</v>
      </c>
      <c r="C21" s="26" t="inlineStr">
        <is>
          <t>Travel Convenience</t>
        </is>
      </c>
    </row>
    <row r="22" ht="15" customHeight="1" s="22">
      <c r="A22" s="24" t="inlineStr">
        <is>
          <t>w_completeness</t>
        </is>
      </c>
      <c r="B22" s="29" t="n">
        <v>15</v>
      </c>
      <c r="C22" s="26" t="inlineStr">
        <is>
          <t>Data Completeness</t>
        </is>
      </c>
    </row>
    <row r="23" ht="15" customHeight="1" s="22">
      <c r="A23" s="24" t="inlineStr">
        <is>
          <t>w_uniqueness</t>
        </is>
      </c>
      <c r="B23" s="29" t="n">
        <v>10</v>
      </c>
      <c r="C23" s="26" t="inlineStr">
        <is>
          <t>Uniqueness / Experience</t>
        </is>
      </c>
    </row>
    <row r="24" ht="15" customHeight="1" s="22">
      <c r="A24" s="24" t="inlineStr">
        <is>
          <t>weights_total</t>
        </is>
      </c>
      <c r="B24" s="30">
        <f>SUM(B18:B23)</f>
        <v/>
      </c>
      <c r="C24" s="26" t="inlineStr">
        <is>
          <t>MUST equal 100 - integrity check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1" min="1" max="1"/>
    <col width="16" customWidth="1" style="21" min="2" max="2"/>
    <col width="12" customWidth="1" style="21" min="3" max="3"/>
    <col width="30" customWidth="1" style="21" min="4" max="4"/>
    <col width="22" customWidth="1" style="21" min="5" max="5"/>
    <col width="28" customWidth="1" style="21" min="6" max="6"/>
    <col width="9" customWidth="1" style="21" min="7" max="8"/>
    <col width="8" customWidth="1" style="21" min="9" max="9"/>
    <col width="11" customWidth="1" style="21" min="10" max="10"/>
    <col width="12" customWidth="1" style="21" min="11" max="11"/>
    <col width="16" customWidth="1" style="21" min="12" max="12"/>
    <col width="15" customWidth="1" style="21" min="13" max="13"/>
    <col width="13" customWidth="1" style="21" min="14" max="14"/>
    <col width="26" customWidth="1" style="21" min="15" max="15"/>
    <col width="18" customWidth="1" style="21" min="16" max="16"/>
    <col width="12" customWidth="1" style="21" min="17" max="17"/>
    <col width="26" customWidth="1" style="21" min="18" max="19"/>
  </cols>
  <sheetData>
    <row r="1" ht="23.25" customHeight="1" s="22">
      <c r="A1" s="23" t="inlineStr">
        <is>
          <t>raw_id</t>
        </is>
      </c>
      <c r="B1" s="23" t="inlineStr">
        <is>
          <t>scrape_timestamp</t>
        </is>
      </c>
      <c r="C1" s="23" t="inlineStr">
        <is>
          <t>source</t>
        </is>
      </c>
      <c r="D1" s="23" t="inlineStr">
        <is>
          <t>source_url</t>
        </is>
      </c>
      <c r="E1" s="23" t="inlineStr">
        <is>
          <t>name_raw</t>
        </is>
      </c>
      <c r="F1" s="23" t="inlineStr">
        <is>
          <t>address_raw</t>
        </is>
      </c>
      <c r="G1" s="23" t="inlineStr">
        <is>
          <t>lat</t>
        </is>
      </c>
      <c r="H1" s="23" t="inlineStr">
        <is>
          <t>lng</t>
        </is>
      </c>
      <c r="I1" s="23" t="inlineStr">
        <is>
          <t>rating</t>
        </is>
      </c>
      <c r="J1" s="23" t="inlineStr">
        <is>
          <t>review_count</t>
        </is>
      </c>
      <c r="K1" s="23" t="inlineStr">
        <is>
          <t>price_level_raw</t>
        </is>
      </c>
      <c r="L1" s="23" t="inlineStr">
        <is>
          <t>cuisine_raw</t>
        </is>
      </c>
      <c r="M1" s="23" t="inlineStr">
        <is>
          <t>phone</t>
        </is>
      </c>
      <c r="N1" s="23" t="inlineStr">
        <is>
          <t>hours_raw</t>
        </is>
      </c>
      <c r="O1" s="23" t="inlineStr">
        <is>
          <t>capacity_info_raw</t>
        </is>
      </c>
      <c r="P1" s="23" t="inlineStr">
        <is>
          <t>reservation_info_raw</t>
        </is>
      </c>
      <c r="Q1" s="23" t="inlineStr">
        <is>
          <t>photos_count</t>
        </is>
      </c>
      <c r="R1" s="23" t="inlineStr">
        <is>
          <t>menu_url</t>
        </is>
      </c>
      <c r="S1" s="23" t="inlineStr">
        <is>
          <t>notes_raw</t>
        </is>
      </c>
    </row>
    <row r="2" ht="15" customHeight="1" s="22">
      <c r="A2" s="25" t="n">
        <v>1</v>
      </c>
      <c r="B2" s="25" t="inlineStr">
        <is>
          <t>2026-06-03 (Google Places)</t>
        </is>
      </c>
      <c r="C2" s="25" t="inlineStr">
        <is>
          <t>google_maps</t>
        </is>
      </c>
      <c r="D2" s="25" t="inlineStr">
        <is>
          <t>https://www.google.com/maps/place/?q=place_id:ChIJqY_zAACf4jAR531b-mrezXs</t>
        </is>
      </c>
      <c r="E2" s="25" t="inlineStr">
        <is>
          <t>Pizzeria Da Michele Bangkok</t>
        </is>
      </c>
      <c r="F2" s="25" t="inlineStr">
        <is>
          <t>Siam, Bangkok</t>
        </is>
      </c>
      <c r="G2" s="25" t="n">
        <v>13.74739</v>
      </c>
      <c r="H2" s="25" t="n">
        <v>100.535122</v>
      </c>
      <c r="I2" s="25" t="n">
        <v>4.7</v>
      </c>
      <c r="J2" s="25" t="n">
        <v>1010</v>
      </c>
      <c r="K2" s="25" t="n"/>
      <c r="L2" s="25" t="inlineStr">
        <is>
          <t>Italian</t>
        </is>
      </c>
      <c r="M2" s="25" t="inlineStr">
        <is>
          <t>+66 81 849 4620</t>
        </is>
      </c>
      <c r="N2" s="25" t="inlineStr">
        <is>
          <t>11:00-22:30</t>
        </is>
      </c>
      <c r="O2" s="25" t="n"/>
      <c r="P2" s="25" t="n"/>
      <c r="Q2" s="25" t="n"/>
      <c r="R2" s="25" t="n"/>
      <c r="S2" s="25" t="n"/>
    </row>
    <row r="3" ht="15" customHeight="1" s="22">
      <c r="A3" s="25" t="n">
        <v>2</v>
      </c>
      <c r="B3" s="25" t="inlineStr">
        <is>
          <t>2026-06-03 (Google Places)</t>
        </is>
      </c>
      <c r="C3" s="25" t="inlineStr">
        <is>
          <t>google_maps</t>
        </is>
      </c>
      <c r="D3" s="25" t="inlineStr">
        <is>
          <t>https://www.google.com/maps/place/?q=place_id:ChIJKVqr3I6Z4jARPi6t_zvvL1A</t>
        </is>
      </c>
      <c r="E3" s="25" t="inlineStr">
        <is>
          <t>Jim Thompson, A Thai Restaurant</t>
        </is>
      </c>
      <c r="F3" s="25" t="inlineStr">
        <is>
          <t>Siam, Bangkok</t>
        </is>
      </c>
      <c r="G3" s="25" t="n">
        <v>13.749104</v>
      </c>
      <c r="H3" s="25" t="n">
        <v>100.528576</v>
      </c>
      <c r="I3" s="25" t="n">
        <v>4.8</v>
      </c>
      <c r="J3" s="25" t="n">
        <v>3625</v>
      </c>
      <c r="K3" s="25" t="n"/>
      <c r="L3" s="25" t="inlineStr">
        <is>
          <t>Thai</t>
        </is>
      </c>
      <c r="M3" s="25" t="inlineStr">
        <is>
          <t>+66 61 421 8951</t>
        </is>
      </c>
      <c r="N3" s="25" t="inlineStr">
        <is>
          <t>11:30-22:00</t>
        </is>
      </c>
      <c r="O3" s="25" t="n"/>
      <c r="P3" s="25" t="n"/>
      <c r="Q3" s="25" t="n"/>
      <c r="R3" s="25" t="n"/>
      <c r="S3" s="25" t="n"/>
    </row>
    <row r="4" ht="15" customHeight="1" s="22">
      <c r="A4" s="25" t="n">
        <v>3</v>
      </c>
      <c r="B4" s="25" t="inlineStr">
        <is>
          <t>2026-06-03 (Google Places)</t>
        </is>
      </c>
      <c r="C4" s="25" t="inlineStr">
        <is>
          <t>google_maps</t>
        </is>
      </c>
      <c r="D4" s="25" t="inlineStr">
        <is>
          <t>https://www.google.com/maps/place/?q=place_id:ChIJ937RdtKe4jARPRuzBAQLNxc</t>
        </is>
      </c>
      <c r="E4" s="25" t="inlineStr">
        <is>
          <t>White Flower Factory</t>
        </is>
      </c>
      <c r="F4" s="25" t="inlineStr">
        <is>
          <t>Siam, Bangkok</t>
        </is>
      </c>
      <c r="G4" s="25" t="n">
        <v>13.74533</v>
      </c>
      <c r="H4" s="25" t="n">
        <v>100.533788</v>
      </c>
      <c r="I4" s="25" t="n">
        <v>4.6</v>
      </c>
      <c r="J4" s="25" t="n">
        <v>1521</v>
      </c>
      <c r="K4" s="25" t="n"/>
      <c r="L4" s="25" t="inlineStr">
        <is>
          <t>Thai / Fusion</t>
        </is>
      </c>
      <c r="M4" s="25" t="inlineStr">
        <is>
          <t>+66 99 002 0897</t>
        </is>
      </c>
      <c r="N4" s="25" t="inlineStr">
        <is>
          <t>10:30-22:00</t>
        </is>
      </c>
      <c r="O4" s="25" t="n"/>
      <c r="P4" s="25" t="n"/>
      <c r="Q4" s="25" t="n"/>
      <c r="R4" s="25" t="n"/>
      <c r="S4" s="25" t="n"/>
    </row>
    <row r="5" ht="15" customHeight="1" s="22">
      <c r="A5" s="25" t="n">
        <v>4</v>
      </c>
      <c r="B5" s="25" t="inlineStr">
        <is>
          <t>2026-06-03 (Google Places)</t>
        </is>
      </c>
      <c r="C5" s="25" t="inlineStr">
        <is>
          <t>google_maps</t>
        </is>
      </c>
      <c r="D5" s="25" t="inlineStr">
        <is>
          <t>https://www.google.com/maps/place/?q=place_id:ChIJOTkw4lef4jARoSBeMI4SX8k</t>
        </is>
      </c>
      <c r="E5" s="25" t="inlineStr">
        <is>
          <t>Mozza By Cocotte Siam Paragon</t>
        </is>
      </c>
      <c r="F5" s="25" t="inlineStr">
        <is>
          <t>Siam, Bangkok</t>
        </is>
      </c>
      <c r="G5" s="25" t="n">
        <v>13.74696</v>
      </c>
      <c r="H5" s="25" t="n">
        <v>100.53417</v>
      </c>
      <c r="I5" s="25" t="n">
        <v>4.7</v>
      </c>
      <c r="J5" s="25" t="n">
        <v>1474</v>
      </c>
      <c r="K5" s="25" t="n"/>
      <c r="L5" s="25" t="inlineStr">
        <is>
          <t>Italian</t>
        </is>
      </c>
      <c r="M5" s="25" t="inlineStr">
        <is>
          <t>+66 62 208 8828</t>
        </is>
      </c>
      <c r="N5" s="25" t="inlineStr">
        <is>
          <t>10:00-21:30</t>
        </is>
      </c>
      <c r="O5" s="25" t="n"/>
      <c r="P5" s="25" t="n"/>
      <c r="Q5" s="25" t="n"/>
      <c r="R5" s="25" t="n"/>
      <c r="S5" s="25" t="n"/>
    </row>
    <row r="6" ht="15" customHeight="1" s="22">
      <c r="A6" s="25" t="n">
        <v>5</v>
      </c>
      <c r="B6" s="25" t="inlineStr">
        <is>
          <t>2026-06-03 (Google Places)</t>
        </is>
      </c>
      <c r="C6" s="25" t="inlineStr">
        <is>
          <t>google_maps</t>
        </is>
      </c>
      <c r="D6" s="25" t="inlineStr">
        <is>
          <t>https://www.google.com/maps/place/?q=place_id:ChIJ32UB3HKf4jARiuAr1TeJxf8</t>
        </is>
      </c>
      <c r="E6" s="25" t="inlineStr">
        <is>
          <t>EASY! buddy Siam Center</t>
        </is>
      </c>
      <c r="F6" s="25" t="inlineStr">
        <is>
          <t>Siam, Bangkok</t>
        </is>
      </c>
      <c r="G6" s="25" t="n">
        <v>13.746252</v>
      </c>
      <c r="H6" s="25" t="n">
        <v>100.532863</v>
      </c>
      <c r="I6" s="25" t="n">
        <v>4.7</v>
      </c>
      <c r="J6" s="25" t="n">
        <v>825</v>
      </c>
      <c r="K6" s="25" t="n"/>
      <c r="L6" s="25" t="inlineStr">
        <is>
          <t>Thai</t>
        </is>
      </c>
      <c r="M6" s="25" t="inlineStr">
        <is>
          <t>+66 2 129 6920</t>
        </is>
      </c>
      <c r="N6" s="25" t="inlineStr">
        <is>
          <t>10:00-21:15</t>
        </is>
      </c>
      <c r="O6" s="25" t="n"/>
      <c r="P6" s="25" t="n"/>
      <c r="Q6" s="25" t="n"/>
      <c r="R6" s="25" t="n"/>
      <c r="S6" s="25" t="n"/>
    </row>
    <row r="7" ht="15" customHeight="1" s="22">
      <c r="A7" s="25" t="n">
        <v>6</v>
      </c>
      <c r="B7" s="25" t="inlineStr">
        <is>
          <t>2026-06-03 (Google Places)</t>
        </is>
      </c>
      <c r="C7" s="25" t="inlineStr">
        <is>
          <t>google_maps</t>
        </is>
      </c>
      <c r="D7" s="25" t="inlineStr">
        <is>
          <t>https://www.google.com/maps/place/?q=place_id:ChIJcdirPxmf4jARag_4rNCeT58</t>
        </is>
      </c>
      <c r="E7" s="25" t="inlineStr">
        <is>
          <t>KHAO-SO-i Siam Paragon</t>
        </is>
      </c>
      <c r="F7" s="25" t="inlineStr">
        <is>
          <t>Siam, Bangkok</t>
        </is>
      </c>
      <c r="G7" s="25" t="n">
        <v>13.746458</v>
      </c>
      <c r="H7" s="25" t="n">
        <v>100.534831</v>
      </c>
      <c r="I7" s="25" t="n">
        <v>4.8</v>
      </c>
      <c r="J7" s="25" t="n">
        <v>1735</v>
      </c>
      <c r="K7" s="25" t="n"/>
      <c r="L7" s="25" t="inlineStr">
        <is>
          <t>Thai / Noodles</t>
        </is>
      </c>
      <c r="M7" s="25" t="inlineStr">
        <is>
          <t>+66 80 073 0238</t>
        </is>
      </c>
      <c r="N7" s="25" t="inlineStr">
        <is>
          <t>10:00-22:00</t>
        </is>
      </c>
      <c r="O7" s="25" t="n"/>
      <c r="P7" s="25" t="n"/>
      <c r="Q7" s="25" t="n"/>
      <c r="R7" s="25" t="n"/>
      <c r="S7" s="25" t="n"/>
    </row>
    <row r="8" ht="15" customHeight="1" s="22">
      <c r="A8" s="25" t="n">
        <v>7</v>
      </c>
      <c r="B8" s="25" t="inlineStr">
        <is>
          <t>2026-06-03 (Google Places)</t>
        </is>
      </c>
      <c r="C8" s="25" t="inlineStr">
        <is>
          <t>google_maps</t>
        </is>
      </c>
      <c r="D8" s="25" t="inlineStr">
        <is>
          <t>https://www.google.com/maps/place/?q=place_id:ChIJzSGKcbqd4jARz2juHM1CBWU</t>
        </is>
      </c>
      <c r="E8" s="25" t="inlineStr">
        <is>
          <t>Do Nua - La Villa Ari</t>
        </is>
      </c>
      <c r="F8" s="25" t="inlineStr">
        <is>
          <t>Ari, Bangkok</t>
        </is>
      </c>
      <c r="G8" s="25" t="n">
        <v>13.780063</v>
      </c>
      <c r="H8" s="25" t="n">
        <v>100.545301</v>
      </c>
      <c r="I8" s="25" t="n">
        <v>4.9</v>
      </c>
      <c r="J8" s="25" t="n">
        <v>155</v>
      </c>
      <c r="K8" s="25" t="n"/>
      <c r="L8" s="25" t="inlineStr">
        <is>
          <t>Thai</t>
        </is>
      </c>
      <c r="M8" s="25" t="inlineStr">
        <is>
          <t>+66 62 546 0562</t>
        </is>
      </c>
      <c r="N8" s="25" t="inlineStr">
        <is>
          <t>11:00-22:00</t>
        </is>
      </c>
      <c r="O8" s="25" t="n"/>
      <c r="P8" s="25" t="n"/>
      <c r="Q8" s="25" t="n"/>
      <c r="R8" s="25" t="n"/>
      <c r="S8" s="25" t="n"/>
    </row>
    <row r="9" ht="15" customHeight="1" s="22">
      <c r="A9" s="25" t="n">
        <v>8</v>
      </c>
      <c r="B9" s="25" t="inlineStr">
        <is>
          <t>2026-06-03 (Google Places)</t>
        </is>
      </c>
      <c r="C9" s="25" t="inlineStr">
        <is>
          <t>google_maps</t>
        </is>
      </c>
      <c r="D9" s="25" t="inlineStr">
        <is>
          <t>https://www.google.com/maps/place/?q=place_id:ChIJCd8GG8mf4jARgkPPeBSiM3M</t>
        </is>
      </c>
      <c r="E9" s="25" t="inlineStr">
        <is>
          <t>Miles Ari</t>
        </is>
      </c>
      <c r="F9" s="25" t="inlineStr">
        <is>
          <t>Ari, Bangkok</t>
        </is>
      </c>
      <c r="G9" s="25" t="n">
        <v>13.778774</v>
      </c>
      <c r="H9" s="25" t="n">
        <v>100.538057</v>
      </c>
      <c r="I9" s="25" t="n">
        <v>4.4</v>
      </c>
      <c r="J9" s="25" t="n">
        <v>115</v>
      </c>
      <c r="K9" s="25" t="n"/>
      <c r="L9" s="25" t="inlineStr">
        <is>
          <t>International</t>
        </is>
      </c>
      <c r="M9" s="25" t="inlineStr">
        <is>
          <t>+66 95 325 2289</t>
        </is>
      </c>
      <c r="N9" s="25" t="inlineStr">
        <is>
          <t>10:00-22:00</t>
        </is>
      </c>
      <c r="O9" s="25" t="n"/>
      <c r="P9" s="25" t="n"/>
      <c r="Q9" s="25" t="n"/>
      <c r="R9" s="25" t="n"/>
      <c r="S9" s="25" t="n"/>
    </row>
    <row r="10" ht="15" customHeight="1" s="22">
      <c r="A10" s="25" t="n">
        <v>9</v>
      </c>
      <c r="B10" s="25" t="inlineStr">
        <is>
          <t>2026-06-03 (Google Places)</t>
        </is>
      </c>
      <c r="C10" s="25" t="inlineStr">
        <is>
          <t>google_maps</t>
        </is>
      </c>
      <c r="D10" s="25" t="inlineStr">
        <is>
          <t>https://www.google.com/maps/place/?q=place_id:ChIJwckPWrif4jARrU3ysHbv5v8</t>
        </is>
      </c>
      <c r="E10" s="25" t="inlineStr">
        <is>
          <t>The Deck Bangkok</t>
        </is>
      </c>
      <c r="F10" s="25" t="inlineStr">
        <is>
          <t>Phrom Phong, Bangkok</t>
        </is>
      </c>
      <c r="G10" s="25" t="n">
        <v>13.732177</v>
      </c>
      <c r="H10" s="25" t="n">
        <v>100.563992</v>
      </c>
      <c r="I10" s="25" t="n">
        <v>4.8</v>
      </c>
      <c r="J10" s="25" t="n">
        <v>1681</v>
      </c>
      <c r="K10" s="25" t="n"/>
      <c r="L10" s="25" t="inlineStr">
        <is>
          <t>International / Thai</t>
        </is>
      </c>
      <c r="M10" s="25" t="inlineStr">
        <is>
          <t>+66 95 239 0805</t>
        </is>
      </c>
      <c r="N10" s="25" t="inlineStr">
        <is>
          <t>07:30-24:00</t>
        </is>
      </c>
      <c r="O10" s="25" t="n"/>
      <c r="P10" s="25" t="n"/>
      <c r="Q10" s="25" t="n"/>
      <c r="R10" s="25" t="n"/>
      <c r="S10" s="25" t="n"/>
    </row>
    <row r="11" ht="15" customHeight="1" s="22">
      <c r="A11" s="25" t="n">
        <v>10</v>
      </c>
      <c r="B11" s="25" t="inlineStr">
        <is>
          <t>2026-06-03 (Google Places)</t>
        </is>
      </c>
      <c r="C11" s="25" t="inlineStr">
        <is>
          <t>google_maps</t>
        </is>
      </c>
      <c r="D11" s="25" t="inlineStr">
        <is>
          <t>https://www.google.com/maps/place/?q=place_id:ChIJB82DFaaf4jARGv7WC1LFFkw</t>
        </is>
      </c>
      <c r="E11" s="25" t="inlineStr">
        <is>
          <t>Yellow Lane</t>
        </is>
      </c>
      <c r="F11" s="25" t="inlineStr">
        <is>
          <t>Ari, Bangkok</t>
        </is>
      </c>
      <c r="G11" s="25" t="n">
        <v>13.77521</v>
      </c>
      <c r="H11" s="25" t="n">
        <v>100.539816</v>
      </c>
      <c r="I11" s="25" t="n">
        <v>4.5</v>
      </c>
      <c r="J11" s="25" t="n">
        <v>856</v>
      </c>
      <c r="K11" s="25" t="n"/>
      <c r="L11" s="25" t="inlineStr">
        <is>
          <t>Cafe / Brunch</t>
        </is>
      </c>
      <c r="M11" s="25" t="inlineStr">
        <is>
          <t>+66 65 123 8378</t>
        </is>
      </c>
      <c r="N11" s="25" t="inlineStr">
        <is>
          <t>07:30-22:00</t>
        </is>
      </c>
      <c r="O11" s="25" t="n"/>
      <c r="P11" s="25" t="n"/>
      <c r="Q11" s="25" t="n"/>
      <c r="R11" s="25" t="n"/>
      <c r="S11" s="25" t="n"/>
    </row>
    <row r="12" ht="15" customHeight="1" s="22">
      <c r="A12" s="25" t="n">
        <v>11</v>
      </c>
      <c r="B12" s="25" t="inlineStr">
        <is>
          <t>2026-06-03 (Google Places)</t>
        </is>
      </c>
      <c r="C12" s="25" t="inlineStr">
        <is>
          <t>google_maps</t>
        </is>
      </c>
      <c r="D12" s="25" t="inlineStr">
        <is>
          <t>https://www.google.com/maps/place/?q=place_id:ChIJCYhsHMuf4jAReiB3kcNDxhQ</t>
        </is>
      </c>
      <c r="E12" s="25" t="inlineStr">
        <is>
          <t>Park Sathorn Restaurant</t>
        </is>
      </c>
      <c r="F12" s="25" t="inlineStr">
        <is>
          <t>Sathorn, Bangkok</t>
        </is>
      </c>
      <c r="G12" s="25" t="n">
        <v>13.719795</v>
      </c>
      <c r="H12" s="25" t="n">
        <v>100.551228</v>
      </c>
      <c r="I12" s="25" t="n">
        <v>4.6</v>
      </c>
      <c r="J12" s="25" t="n">
        <v>571</v>
      </c>
      <c r="K12" s="25" t="n"/>
      <c r="L12" s="25" t="inlineStr">
        <is>
          <t>Thai</t>
        </is>
      </c>
      <c r="M12" s="25" t="inlineStr">
        <is>
          <t>+66 81 543 8888</t>
        </is>
      </c>
      <c r="N12" s="25" t="inlineStr">
        <is>
          <t>09:00-22:30</t>
        </is>
      </c>
      <c r="O12" s="25" t="n"/>
      <c r="P12" s="25" t="n"/>
      <c r="Q12" s="25" t="n"/>
      <c r="R12" s="25" t="n"/>
      <c r="S12" s="25" t="n"/>
    </row>
    <row r="13" ht="15" customHeight="1" s="22">
      <c r="A13" s="25" t="n">
        <v>12</v>
      </c>
      <c r="B13" s="25" t="inlineStr">
        <is>
          <t>2026-06-03 (Google Places)</t>
        </is>
      </c>
      <c r="C13" s="25" t="inlineStr">
        <is>
          <t>google_maps</t>
        </is>
      </c>
      <c r="D13" s="25" t="inlineStr">
        <is>
          <t>https://www.google.com/maps/place/?q=place_id:ChIJq1XCBzuf4jARKB3mkY-Huh8</t>
        </is>
      </c>
      <c r="E13" s="25" t="inlineStr">
        <is>
          <t>CALM Bangkok - Grill, Garden &amp; Guinguette</t>
        </is>
      </c>
      <c r="F13" s="25" t="inlineStr">
        <is>
          <t>Thonglor, Bangkok</t>
        </is>
      </c>
      <c r="G13" s="25" t="n">
        <v>13.742943</v>
      </c>
      <c r="H13" s="25" t="n">
        <v>100.567848</v>
      </c>
      <c r="I13" s="25" t="n">
        <v>4.8</v>
      </c>
      <c r="J13" s="25" t="n">
        <v>756</v>
      </c>
      <c r="K13" s="25" t="n"/>
      <c r="L13" s="25" t="inlineStr">
        <is>
          <t>Grill / French</t>
        </is>
      </c>
      <c r="M13" s="25" t="inlineStr">
        <is>
          <t>+66 64 197 0432</t>
        </is>
      </c>
      <c r="N13" s="25" t="inlineStr">
        <is>
          <t>16:30-24:00</t>
        </is>
      </c>
      <c r="O13" s="25" t="n"/>
      <c r="P13" s="25" t="n"/>
      <c r="Q13" s="25" t="n"/>
      <c r="R13" s="25" t="n"/>
      <c r="S13" s="25" t="n"/>
    </row>
    <row r="14" ht="15" customHeight="1" s="22">
      <c r="A14" s="25" t="n">
        <v>13</v>
      </c>
      <c r="B14" s="25" t="inlineStr">
        <is>
          <t>2026-06-03 (Google Places)</t>
        </is>
      </c>
      <c r="C14" s="25" t="inlineStr">
        <is>
          <t>google_maps</t>
        </is>
      </c>
      <c r="D14" s="25" t="inlineStr">
        <is>
          <t>https://www.google.com/maps/place/?q=place_id:ChIJE9TQHq6f4jARNDXnbExNvQM</t>
        </is>
      </c>
      <c r="E14" s="25" t="inlineStr">
        <is>
          <t>D'ARK The Strand</t>
        </is>
      </c>
      <c r="F14" s="25" t="inlineStr">
        <is>
          <t>Thonglor, Bangkok</t>
        </is>
      </c>
      <c r="G14" s="25" t="n">
        <v>13.724157</v>
      </c>
      <c r="H14" s="25" t="n">
        <v>100.579645</v>
      </c>
      <c r="I14" s="25" t="n">
        <v>4.4</v>
      </c>
      <c r="J14" s="25" t="n">
        <v>413</v>
      </c>
      <c r="K14" s="25" t="n"/>
      <c r="L14" s="25" t="inlineStr">
        <is>
          <t>Cafe / Comfort</t>
        </is>
      </c>
      <c r="M14" s="25" t="inlineStr">
        <is>
          <t>+66 2 030 1970</t>
        </is>
      </c>
      <c r="N14" s="25" t="inlineStr">
        <is>
          <t>07:00-22:00</t>
        </is>
      </c>
      <c r="O14" s="25" t="n"/>
      <c r="P14" s="25" t="n"/>
      <c r="Q14" s="25" t="n"/>
      <c r="R14" s="25" t="n"/>
      <c r="S14" s="25" t="n"/>
    </row>
    <row r="15" ht="15" customHeight="1" s="22">
      <c r="A15" s="25" t="n">
        <v>14</v>
      </c>
      <c r="B15" s="25" t="inlineStr">
        <is>
          <t>2026-06-03 (Google Places)</t>
        </is>
      </c>
      <c r="C15" s="25" t="inlineStr">
        <is>
          <t>google_maps</t>
        </is>
      </c>
      <c r="D15" s="25" t="inlineStr">
        <is>
          <t>https://www.google.com/maps/place/?q=place_id:ChIJYSgxk6yf4jAROxN8pCQzqJA</t>
        </is>
      </c>
      <c r="E15" s="25" t="inlineStr">
        <is>
          <t>Supanniga Eating Room by Khun Yai</t>
        </is>
      </c>
      <c r="F15" s="25" t="inlineStr">
        <is>
          <t>Thonglor, Bangkok</t>
        </is>
      </c>
      <c r="G15" s="25" t="n">
        <v>13.730222</v>
      </c>
      <c r="H15" s="25" t="n">
        <v>100.581535</v>
      </c>
      <c r="I15" s="25" t="n">
        <v>4.4</v>
      </c>
      <c r="J15" s="25" t="n">
        <v>1727</v>
      </c>
      <c r="K15" s="25" t="n"/>
      <c r="L15" s="25" t="inlineStr">
        <is>
          <t>Thai</t>
        </is>
      </c>
      <c r="M15" s="25" t="inlineStr">
        <is>
          <t>+66 91 774 9808</t>
        </is>
      </c>
      <c r="N15" s="25" t="inlineStr">
        <is>
          <t>10:00-22:00</t>
        </is>
      </c>
      <c r="O15" s="25" t="n"/>
      <c r="P15" s="25" t="n"/>
      <c r="Q15" s="25" t="n"/>
      <c r="R15" s="25" t="n"/>
      <c r="S15" s="25" t="n"/>
    </row>
    <row r="16" ht="15" customHeight="1" s="22">
      <c r="A16" s="25" t="n">
        <v>15</v>
      </c>
      <c r="B16" s="25" t="inlineStr">
        <is>
          <t>2026-06-03 (Google Places)</t>
        </is>
      </c>
      <c r="C16" s="25" t="inlineStr">
        <is>
          <t>google_maps</t>
        </is>
      </c>
      <c r="D16" s="25" t="inlineStr">
        <is>
          <t>https://www.google.com/maps/place/?q=place_id:ChIJoxNMYVef4jARlJwkRLW0B5c</t>
        </is>
      </c>
      <c r="E16" s="25" t="inlineStr">
        <is>
          <t>Lazy Daisy Brunch and Bar</t>
        </is>
      </c>
      <c r="F16" s="25" t="inlineStr">
        <is>
          <t>Phrom Phong, Bangkok</t>
        </is>
      </c>
      <c r="G16" s="25" t="n">
        <v>13.729117</v>
      </c>
      <c r="H16" s="25" t="n">
        <v>100.561409</v>
      </c>
      <c r="I16" s="25" t="n">
        <v>4.8</v>
      </c>
      <c r="J16" s="25" t="n">
        <v>1133</v>
      </c>
      <c r="K16" s="25" t="n"/>
      <c r="L16" s="25" t="inlineStr">
        <is>
          <t>Brunch / Bar</t>
        </is>
      </c>
      <c r="M16" s="25" t="inlineStr">
        <is>
          <t>+66 94 466 4254</t>
        </is>
      </c>
      <c r="N16" s="25" t="inlineStr">
        <is>
          <t>06:00-24:00</t>
        </is>
      </c>
      <c r="O16" s="25" t="n"/>
      <c r="P16" s="25" t="n"/>
      <c r="Q16" s="25" t="n"/>
      <c r="R16" s="25" t="n"/>
      <c r="S16" s="25" t="n"/>
    </row>
    <row r="17" ht="15" customHeight="1" s="22">
      <c r="A17" s="25" t="n">
        <v>16</v>
      </c>
      <c r="B17" s="25" t="inlineStr">
        <is>
          <t>2026-06-03 (Google Places)</t>
        </is>
      </c>
      <c r="C17" s="25" t="inlineStr">
        <is>
          <t>google_maps</t>
        </is>
      </c>
      <c r="D17" s="25" t="inlineStr">
        <is>
          <t>https://www.google.com/maps/place/?q=place_id:ChIJkQb2tXOf4jARhJdrACdo7c8</t>
        </is>
      </c>
      <c r="E17" s="25" t="inlineStr">
        <is>
          <t>LA PLANTE</t>
        </is>
      </c>
      <c r="F17" s="25" t="inlineStr">
        <is>
          <t>Asok, Bangkok</t>
        </is>
      </c>
      <c r="G17" s="25" t="n">
        <v>13.737579</v>
      </c>
      <c r="H17" s="25" t="n">
        <v>100.567333</v>
      </c>
      <c r="I17" s="25" t="n">
        <v>4.6</v>
      </c>
      <c r="J17" s="25" t="n">
        <v>261</v>
      </c>
      <c r="K17" s="25" t="n"/>
      <c r="L17" s="25" t="inlineStr">
        <is>
          <t>French / Bistro</t>
        </is>
      </c>
      <c r="M17" s="25" t="inlineStr">
        <is>
          <t>+66 98 830 0063</t>
        </is>
      </c>
      <c r="N17" s="25" t="inlineStr">
        <is>
          <t>08:00-22:00</t>
        </is>
      </c>
      <c r="O17" s="25" t="n"/>
      <c r="P17" s="25" t="n"/>
      <c r="Q17" s="25" t="n"/>
      <c r="R17" s="25" t="n"/>
      <c r="S17" s="25" t="n"/>
    </row>
    <row r="18" ht="15" customHeight="1" s="22">
      <c r="A18" s="25" t="n">
        <v>17</v>
      </c>
      <c r="B18" s="25" t="inlineStr">
        <is>
          <t>2026-06-03 (Google Places)</t>
        </is>
      </c>
      <c r="C18" s="25" t="inlineStr">
        <is>
          <t>google_maps</t>
        </is>
      </c>
      <c r="D18" s="25" t="inlineStr">
        <is>
          <t>https://www.google.com/maps/place/?q=place_id:ChIJ947tbq-f4jARmqxnBY9oxv4</t>
        </is>
      </c>
      <c r="E18" s="25" t="inlineStr">
        <is>
          <t>The Gardens of Dinsor Palace</t>
        </is>
      </c>
      <c r="F18" s="25" t="inlineStr">
        <is>
          <t>Thonglor, Bangkok</t>
        </is>
      </c>
      <c r="G18" s="25" t="n">
        <v>13.722617</v>
      </c>
      <c r="H18" s="25" t="n">
        <v>100.582282</v>
      </c>
      <c r="I18" s="25" t="n">
        <v>4.4</v>
      </c>
      <c r="J18" s="25" t="n">
        <v>1802</v>
      </c>
      <c r="K18" s="25" t="n"/>
      <c r="L18" s="25" t="inlineStr">
        <is>
          <t>European / Thai</t>
        </is>
      </c>
      <c r="M18" s="25" t="inlineStr">
        <is>
          <t>+66 93 124 7730</t>
        </is>
      </c>
      <c r="N18" s="25" t="inlineStr">
        <is>
          <t>10:00-22:00</t>
        </is>
      </c>
      <c r="O18" s="25" t="n"/>
      <c r="P18" s="25" t="n"/>
      <c r="Q18" s="25" t="n"/>
      <c r="R18" s="25" t="n"/>
      <c r="S18" s="25" t="n"/>
    </row>
    <row r="19" ht="15" customHeight="1" s="22">
      <c r="A19" s="25" t="n">
        <v>18</v>
      </c>
      <c r="B19" s="25" t="inlineStr">
        <is>
          <t>2026-06-03 (Google Places)</t>
        </is>
      </c>
      <c r="C19" s="25" t="inlineStr">
        <is>
          <t>google_maps</t>
        </is>
      </c>
      <c r="D19" s="25" t="inlineStr">
        <is>
          <t>https://www.google.com/maps/place/?q=place_id:ChIJx6JXUqmf4jAR6tmg4xV65_A</t>
        </is>
      </c>
      <c r="E19" s="25" t="inlineStr">
        <is>
          <t>Kiani Korean Restaurant Thonglor</t>
        </is>
      </c>
      <c r="F19" s="25" t="inlineStr">
        <is>
          <t>Thonglor, Bangkok</t>
        </is>
      </c>
      <c r="G19" s="25" t="n">
        <v>13.726003</v>
      </c>
      <c r="H19" s="25" t="n">
        <v>100.580468</v>
      </c>
      <c r="I19" s="25" t="n">
        <v>4.8</v>
      </c>
      <c r="J19" s="25" t="n">
        <v>1263</v>
      </c>
      <c r="K19" s="25" t="n"/>
      <c r="L19" s="25" t="inlineStr">
        <is>
          <t>Korean</t>
        </is>
      </c>
      <c r="M19" s="25" t="inlineStr">
        <is>
          <t>+66 84 220 8282</t>
        </is>
      </c>
      <c r="N19" s="25" t="inlineStr">
        <is>
          <t>11:00-21:30</t>
        </is>
      </c>
      <c r="O19" s="25" t="n"/>
      <c r="P19" s="25" t="n"/>
      <c r="Q19" s="25" t="n"/>
      <c r="R19" s="25" t="n"/>
      <c r="S19" s="25" t="n"/>
    </row>
    <row r="20" ht="15" customHeight="1" s="22">
      <c r="A20" s="25" t="n">
        <v>19</v>
      </c>
      <c r="B20" s="25" t="inlineStr">
        <is>
          <t>2026-06-03 (Google Places)</t>
        </is>
      </c>
      <c r="C20" s="25" t="inlineStr">
        <is>
          <t>google_maps</t>
        </is>
      </c>
      <c r="D20" s="25" t="inlineStr">
        <is>
          <t>https://www.google.com/maps/place/?q=place_id:ChIJw5WEJoqf4jARFC4PiDtFCzc</t>
        </is>
      </c>
      <c r="E20" s="25" t="inlineStr">
        <is>
          <t>Gigi Eatery Asoke</t>
        </is>
      </c>
      <c r="F20" s="25" t="inlineStr">
        <is>
          <t>Asok, Bangkok</t>
        </is>
      </c>
      <c r="G20" s="25" t="n">
        <v>13.73947</v>
      </c>
      <c r="H20" s="25" t="n">
        <v>100.560177</v>
      </c>
      <c r="I20" s="25" t="n">
        <v>4.8</v>
      </c>
      <c r="J20" s="25" t="n">
        <v>3335</v>
      </c>
      <c r="K20" s="25" t="n"/>
      <c r="L20" s="25" t="inlineStr">
        <is>
          <t>Italian</t>
        </is>
      </c>
      <c r="M20" s="25" t="inlineStr">
        <is>
          <t>+66 61 995 6060</t>
        </is>
      </c>
      <c r="N20" s="25" t="inlineStr">
        <is>
          <t>07:00-24:00</t>
        </is>
      </c>
      <c r="O20" s="25" t="n"/>
      <c r="P20" s="25" t="n"/>
      <c r="Q20" s="25" t="n"/>
      <c r="R20" s="25" t="n"/>
      <c r="S20" s="25" t="n"/>
    </row>
    <row r="21" ht="15" customHeight="1" s="22">
      <c r="A21" s="25" t="n">
        <v>20</v>
      </c>
      <c r="B21" s="25" t="inlineStr">
        <is>
          <t>2026-06-03 (Google Places)</t>
        </is>
      </c>
      <c r="C21" s="25" t="inlineStr">
        <is>
          <t>google_maps</t>
        </is>
      </c>
      <c r="D21" s="25" t="inlineStr">
        <is>
          <t>https://www.google.com/maps/place/?q=place_id:ChIJgX-SHpqf4jARTZxC5FBJGwQ</t>
        </is>
      </c>
      <c r="E21" s="25" t="inlineStr">
        <is>
          <t>Mad Moa Asok</t>
        </is>
      </c>
      <c r="F21" s="25" t="inlineStr">
        <is>
          <t>Asok, Bangkok</t>
        </is>
      </c>
      <c r="G21" s="25" t="n">
        <v>13.740386</v>
      </c>
      <c r="H21" s="25" t="n">
        <v>100.561551</v>
      </c>
      <c r="I21" s="25" t="n">
        <v>4.8</v>
      </c>
      <c r="J21" s="25" t="n">
        <v>159</v>
      </c>
      <c r="K21" s="25" t="n"/>
      <c r="L21" s="25" t="inlineStr">
        <is>
          <t>Western</t>
        </is>
      </c>
      <c r="M21" s="25" t="inlineStr">
        <is>
          <t>+66 95 720 3826</t>
        </is>
      </c>
      <c r="N21" s="25" t="inlineStr">
        <is>
          <t>11:00-22:00</t>
        </is>
      </c>
      <c r="O21" s="25" t="n"/>
      <c r="P21" s="25" t="n"/>
      <c r="Q21" s="25" t="n"/>
      <c r="R21" s="25" t="n"/>
      <c r="S21" s="25" t="n"/>
    </row>
    <row r="22" ht="15" customHeight="1" s="22">
      <c r="A22" s="25" t="n">
        <v>21</v>
      </c>
      <c r="B22" s="25" t="inlineStr">
        <is>
          <t>2026-06-03 (Google Places)</t>
        </is>
      </c>
      <c r="C22" s="25" t="inlineStr">
        <is>
          <t>google_maps</t>
        </is>
      </c>
      <c r="D22" s="25" t="inlineStr">
        <is>
          <t>https://www.google.com/maps/place/?q=place_id:ChIJa7RbIkGf4jARxc9xrSROCts</t>
        </is>
      </c>
      <c r="E22" s="25" t="inlineStr">
        <is>
          <t>BARTELS Asok</t>
        </is>
      </c>
      <c r="F22" s="25" t="inlineStr">
        <is>
          <t>Asok, Bangkok</t>
        </is>
      </c>
      <c r="G22" s="25" t="n">
        <v>13.738573</v>
      </c>
      <c r="H22" s="25" t="n">
        <v>100.55906</v>
      </c>
      <c r="I22" s="25" t="n">
        <v>4.8</v>
      </c>
      <c r="J22" s="25" t="n">
        <v>2431</v>
      </c>
      <c r="K22" s="25" t="n"/>
      <c r="L22" s="25" t="inlineStr">
        <is>
          <t>Brunch</t>
        </is>
      </c>
      <c r="M22" s="25" t="inlineStr">
        <is>
          <t>+66 95 019 2134</t>
        </is>
      </c>
      <c r="N22" s="25" t="inlineStr">
        <is>
          <t>07:00-18:00</t>
        </is>
      </c>
      <c r="O22" s="25" t="n"/>
      <c r="P22" s="25" t="n"/>
      <c r="Q22" s="25" t="n"/>
      <c r="R22" s="25" t="n"/>
      <c r="S22" s="25" t="n"/>
    </row>
    <row r="23" ht="15" customHeight="1" s="22">
      <c r="A23" s="25" t="n">
        <v>22</v>
      </c>
      <c r="B23" s="25" t="inlineStr">
        <is>
          <t>2026-06-03 (Google Places)</t>
        </is>
      </c>
      <c r="C23" s="25" t="inlineStr">
        <is>
          <t>google_maps</t>
        </is>
      </c>
      <c r="D23" s="25" t="inlineStr">
        <is>
          <t>https://www.google.com/maps/place/?q=place_id:ChIJ5UUPyu6f4jARzil2TMt0IZg</t>
        </is>
      </c>
      <c r="E23" s="25" t="inlineStr">
        <is>
          <t>Nara Thai Cuisine Terminal 21 Asoke</t>
        </is>
      </c>
      <c r="F23" s="25" t="inlineStr">
        <is>
          <t>Asok, Bangkok</t>
        </is>
      </c>
      <c r="G23" s="25" t="n">
        <v>13.737922</v>
      </c>
      <c r="H23" s="25" t="n">
        <v>100.560466</v>
      </c>
      <c r="I23" s="25" t="n">
        <v>4.7</v>
      </c>
      <c r="J23" s="25" t="n">
        <v>1134</v>
      </c>
      <c r="K23" s="25" t="n"/>
      <c r="L23" s="25" t="inlineStr">
        <is>
          <t>Thai</t>
        </is>
      </c>
      <c r="M23" s="25" t="inlineStr">
        <is>
          <t>+66 2 004 2565</t>
        </is>
      </c>
      <c r="N23" s="25" t="inlineStr">
        <is>
          <t>10:00-22:00</t>
        </is>
      </c>
      <c r="O23" s="25" t="n"/>
      <c r="P23" s="25" t="n"/>
      <c r="Q23" s="25" t="n"/>
      <c r="R23" s="25" t="n"/>
      <c r="S23" s="25" t="n"/>
    </row>
    <row r="24" ht="15" customHeight="1" s="22">
      <c r="A24" s="25" t="n">
        <v>23</v>
      </c>
      <c r="B24" s="25" t="inlineStr">
        <is>
          <t>2026-06-03 (Google Places)</t>
        </is>
      </c>
      <c r="C24" s="25" t="inlineStr">
        <is>
          <t>google_maps</t>
        </is>
      </c>
      <c r="D24" s="25" t="inlineStr">
        <is>
          <t>https://www.google.com/maps/place/?q=place_id:ChIJH_SRs-uf4jARsFQMBe6ECXo</t>
        </is>
      </c>
      <c r="E24" s="25" t="inlineStr">
        <is>
          <t>CEDAR Thai Restaurant</t>
        </is>
      </c>
      <c r="F24" s="25" t="inlineStr">
        <is>
          <t>Asok, Bangkok</t>
        </is>
      </c>
      <c r="G24" s="25" t="n">
        <v>13.737922</v>
      </c>
      <c r="H24" s="25" t="n">
        <v>100.560466</v>
      </c>
      <c r="I24" s="25" t="n">
        <v>4.8</v>
      </c>
      <c r="J24" s="25" t="n">
        <v>31</v>
      </c>
      <c r="K24" s="25" t="n"/>
      <c r="L24" s="25" t="inlineStr">
        <is>
          <t>Thai</t>
        </is>
      </c>
      <c r="M24" s="25" t="inlineStr">
        <is>
          <t>+66 93 889 4111</t>
        </is>
      </c>
      <c r="N24" s="25" t="inlineStr">
        <is>
          <t>10:30-22:00</t>
        </is>
      </c>
      <c r="O24" s="25" t="n"/>
      <c r="P24" s="25" t="n"/>
      <c r="Q24" s="25" t="n"/>
      <c r="R24" s="25" t="n"/>
      <c r="S24" s="25" t="n"/>
    </row>
    <row r="25" ht="15" customHeight="1" s="22">
      <c r="A25" s="25" t="n">
        <v>24</v>
      </c>
      <c r="B25" s="25" t="inlineStr">
        <is>
          <t>2026-06-03 (Google Places)</t>
        </is>
      </c>
      <c r="C25" s="25" t="inlineStr">
        <is>
          <t>google_maps</t>
        </is>
      </c>
      <c r="D25" s="25" t="inlineStr">
        <is>
          <t>https://www.google.com/maps/place/?q=place_id:ChIJIUHmOe2f4jAR2l7P6OOm4hg</t>
        </is>
      </c>
      <c r="E25" s="25" t="inlineStr">
        <is>
          <t>PEPE Bangkok</t>
        </is>
      </c>
      <c r="F25" s="25" t="inlineStr">
        <is>
          <t>Phrom Phong, Bangkok</t>
        </is>
      </c>
      <c r="G25" s="25" t="n">
        <v>13.726484</v>
      </c>
      <c r="H25" s="25" t="n">
        <v>100.56154</v>
      </c>
      <c r="I25" s="25" t="n">
        <v>4.8</v>
      </c>
      <c r="J25" s="25" t="n">
        <v>903</v>
      </c>
      <c r="K25" s="25" t="n"/>
      <c r="L25" s="25" t="inlineStr">
        <is>
          <t>Asian Fusion</t>
        </is>
      </c>
      <c r="M25" s="25" t="inlineStr">
        <is>
          <t>+66 84 264 9291</t>
        </is>
      </c>
      <c r="N25" s="25" t="inlineStr">
        <is>
          <t>17:00-24:00</t>
        </is>
      </c>
      <c r="O25" s="25" t="n"/>
      <c r="P25" s="25" t="n"/>
      <c r="Q25" s="25" t="n"/>
      <c r="R25" s="25" t="n"/>
      <c r="S25" s="25" t="n"/>
    </row>
    <row r="26" ht="15" customHeight="1" s="22">
      <c r="A26" s="25" t="n">
        <v>25</v>
      </c>
      <c r="B26" s="25" t="inlineStr">
        <is>
          <t>2026-06-03 (Google Places)</t>
        </is>
      </c>
      <c r="C26" s="25" t="inlineStr">
        <is>
          <t>google_maps</t>
        </is>
      </c>
      <c r="D26" s="25" t="inlineStr">
        <is>
          <t>https://www.google.com/maps/place/?q=place_id:ChIJyVfJqDuf4jARyFXroxpoUag</t>
        </is>
      </c>
      <c r="E26" s="25" t="inlineStr">
        <is>
          <t>Florae Restaurant</t>
        </is>
      </c>
      <c r="F26" s="25" t="inlineStr">
        <is>
          <t>Phrom Phong, Bangkok</t>
        </is>
      </c>
      <c r="G26" s="25" t="n">
        <v>13.721263</v>
      </c>
      <c r="H26" s="25" t="n">
        <v>100.565418</v>
      </c>
      <c r="I26" s="25" t="n">
        <v>4.8</v>
      </c>
      <c r="J26" s="25" t="n">
        <v>653</v>
      </c>
      <c r="K26" s="25" t="n"/>
      <c r="L26" s="25" t="inlineStr">
        <is>
          <t>International</t>
        </is>
      </c>
      <c r="M26" s="25" t="inlineStr">
        <is>
          <t>+66 2 483 3999</t>
        </is>
      </c>
      <c r="N26" s="25" t="inlineStr">
        <is>
          <t>06:00-24:00</t>
        </is>
      </c>
      <c r="O26" s="25" t="n"/>
      <c r="P26" s="25" t="n"/>
      <c r="Q26" s="25" t="n"/>
      <c r="R26" s="25" t="n"/>
      <c r="S26" s="25" t="n"/>
    </row>
    <row r="27">
      <c r="A27" s="21" t="n">
        <v>26</v>
      </c>
      <c r="B27" s="21" t="inlineStr">
        <is>
          <t>2026-06-03 (TripAdvisor)</t>
        </is>
      </c>
      <c r="C27" s="21" t="inlineStr">
        <is>
          <t>tripadvisor</t>
        </is>
      </c>
      <c r="D27" s="21" t="inlineStr">
        <is>
          <t>https://www.tripadvisor.com/Search?q=Pizzeria+Da+Michele+Bangkok+Bangkok</t>
        </is>
      </c>
      <c r="E27" s="21" t="inlineStr">
        <is>
          <t>Pizzeria Da Michele Bangkok</t>
        </is>
      </c>
      <c r="F27" s="21" t="inlineStr">
        <is>
          <t>Siam, Bangkok</t>
        </is>
      </c>
      <c r="G27" s="21" t="n">
        <v>13.74739</v>
      </c>
      <c r="H27" s="21" t="n">
        <v>100.535122</v>
      </c>
      <c r="I27" s="21" t="n">
        <v>4.5</v>
      </c>
      <c r="J27" s="21" t="n">
        <v>621</v>
      </c>
      <c r="K27" s="21" t="inlineStr">
        <is>
          <t>$$-$$$</t>
        </is>
      </c>
      <c r="L27" s="21" t="inlineStr">
        <is>
          <t>Italian</t>
        </is>
      </c>
      <c r="M27" s="21" t="inlineStr">
        <is>
          <t>+66 81 849 4620</t>
        </is>
      </c>
      <c r="N27" s="21" t="inlineStr">
        <is>
          <t>11:00-22:30</t>
        </is>
      </c>
      <c r="O27" s="21" t="inlineStr">
        <is>
          <t>Seats ~30, communal tables</t>
        </is>
      </c>
      <c r="P27" s="21" t="inlineStr">
        <is>
          <t>Walk-in preferred, reservations via phone</t>
        </is>
      </c>
      <c r="S27" s="21" t="inlineStr">
        <is>
          <t>Authentic Naples style; busy weekends</t>
        </is>
      </c>
    </row>
    <row r="28">
      <c r="A28" s="21" t="n">
        <v>27</v>
      </c>
      <c r="B28" s="21" t="inlineStr">
        <is>
          <t>2026-06-03 (TripAdvisor)</t>
        </is>
      </c>
      <c r="C28" s="21" t="inlineStr">
        <is>
          <t>tripadvisor</t>
        </is>
      </c>
      <c r="D28" s="21" t="inlineStr">
        <is>
          <t>https://www.tripadvisor.com/Search?q=Jim+Thompson+A+Thai+Restaurant+Bangkok</t>
        </is>
      </c>
      <c r="E28" s="21" t="inlineStr">
        <is>
          <t>Jim Thompson, A Thai Restaurant</t>
        </is>
      </c>
      <c r="F28" s="21" t="inlineStr">
        <is>
          <t>Siam, Bangkok</t>
        </is>
      </c>
      <c r="G28" s="21" t="n">
        <v>13.749104</v>
      </c>
      <c r="H28" s="21" t="n">
        <v>100.528576</v>
      </c>
      <c r="I28" s="21" t="n">
        <v>4.5</v>
      </c>
      <c r="J28" s="21" t="n">
        <v>1842</v>
      </c>
      <c r="K28" s="21" t="inlineStr">
        <is>
          <t>$$$</t>
        </is>
      </c>
      <c r="L28" s="21" t="inlineStr">
        <is>
          <t>Thai</t>
        </is>
      </c>
      <c r="M28" s="21" t="inlineStr">
        <is>
          <t>+66 61 421 8951</t>
        </is>
      </c>
      <c r="N28" s="21" t="inlineStr">
        <is>
          <t>11:30-22:00</t>
        </is>
      </c>
      <c r="O28" s="21" t="inlineStr">
        <is>
          <t>Indoor 60+, private room available</t>
        </is>
      </c>
      <c r="P28" s="21" t="inlineStr">
        <is>
          <t>Reservations recommended</t>
        </is>
      </c>
      <c r="S28" s="21" t="inlineStr">
        <is>
          <t>Heritage building; popular with groups</t>
        </is>
      </c>
    </row>
    <row r="29">
      <c r="A29" s="21" t="n">
        <v>28</v>
      </c>
      <c r="B29" s="21" t="inlineStr">
        <is>
          <t>2026-06-03 (TripAdvisor)</t>
        </is>
      </c>
      <c r="C29" s="21" t="inlineStr">
        <is>
          <t>tripadvisor</t>
        </is>
      </c>
      <c r="D29" s="21" t="inlineStr">
        <is>
          <t>https://www.tripadvisor.com/Search?q=White+Flower+Factory+Bangkok</t>
        </is>
      </c>
      <c r="E29" s="21" t="inlineStr">
        <is>
          <t>White Flower Factory</t>
        </is>
      </c>
      <c r="F29" s="21" t="inlineStr">
        <is>
          <t>Siam, Bangkok</t>
        </is>
      </c>
      <c r="G29" s="21" t="n">
        <v>13.748</v>
      </c>
      <c r="H29" s="21" t="n">
        <v>100.532</v>
      </c>
      <c r="I29" s="21" t="n">
        <v>4</v>
      </c>
      <c r="J29" s="21" t="n">
        <v>895</v>
      </c>
      <c r="K29" s="21" t="inlineStr">
        <is>
          <t>$$</t>
        </is>
      </c>
      <c r="L29" s="21" t="inlineStr">
        <is>
          <t>Thai/Fusion</t>
        </is>
      </c>
      <c r="N29" s="21" t="inlineStr">
        <is>
          <t>10:00-21:00</t>
        </is>
      </c>
      <c r="O29" s="21" t="inlineStr">
        <is>
          <t>Seats ~40, outdoor garden area</t>
        </is>
      </c>
      <c r="P29" s="21" t="inlineStr">
        <is>
          <t>Walk-in, call ahead for large groups</t>
        </is>
      </c>
      <c r="S29" s="21" t="inlineStr">
        <is>
          <t>Instagrammable space; good for groups</t>
        </is>
      </c>
    </row>
    <row r="30">
      <c r="A30" s="21" t="n">
        <v>29</v>
      </c>
      <c r="B30" s="21" t="inlineStr">
        <is>
          <t>2026-06-03 (TripAdvisor)</t>
        </is>
      </c>
      <c r="C30" s="21" t="inlineStr">
        <is>
          <t>tripadvisor</t>
        </is>
      </c>
      <c r="D30" s="21" t="inlineStr">
        <is>
          <t>https://www.tripadvisor.com/Search?q=Mozza+By+Cocotte+Siam+Paragon+Bangkok</t>
        </is>
      </c>
      <c r="E30" s="21" t="inlineStr">
        <is>
          <t>Mozza By Cocotte Siam Paragon</t>
        </is>
      </c>
      <c r="F30" s="21" t="inlineStr">
        <is>
          <t>Siam, Bangkok</t>
        </is>
      </c>
      <c r="G30" s="21" t="n">
        <v>13.746</v>
      </c>
      <c r="H30" s="21" t="n">
        <v>100.535</v>
      </c>
      <c r="I30" s="21" t="n">
        <v>4.5</v>
      </c>
      <c r="J30" s="21" t="n">
        <v>712</v>
      </c>
      <c r="K30" s="21" t="inlineStr">
        <is>
          <t>$$$$</t>
        </is>
      </c>
      <c r="L30" s="21" t="inlineStr">
        <is>
          <t>Italian</t>
        </is>
      </c>
      <c r="N30" s="21" t="inlineStr">
        <is>
          <t>11:00-22:00</t>
        </is>
      </c>
      <c r="O30" s="21" t="inlineStr">
        <is>
          <t>Seats ~35, some private seating</t>
        </is>
      </c>
      <c r="P30" s="21" t="inlineStr">
        <is>
          <t>Reservations available via website</t>
        </is>
      </c>
      <c r="S30" s="21" t="inlineStr">
        <is>
          <t>Upscale Italian; Siam Paragon mall</t>
        </is>
      </c>
    </row>
    <row r="31">
      <c r="A31" s="21" t="n">
        <v>30</v>
      </c>
      <c r="B31" s="21" t="inlineStr">
        <is>
          <t>2026-06-03 (TripAdvisor)</t>
        </is>
      </c>
      <c r="C31" s="21" t="inlineStr">
        <is>
          <t>tripadvisor</t>
        </is>
      </c>
      <c r="D31" s="21" t="inlineStr">
        <is>
          <t>https://www.tripadvisor.com/Search?q=EASY!+buddy+Siam+Center+Bangkok</t>
        </is>
      </c>
      <c r="E31" s="21" t="inlineStr">
        <is>
          <t>EASY! buddy Siam Center</t>
        </is>
      </c>
      <c r="F31" s="21" t="inlineStr">
        <is>
          <t>Siam, Bangkok</t>
        </is>
      </c>
      <c r="G31" s="21" t="n">
        <v>13.74556</v>
      </c>
      <c r="H31" s="21" t="n">
        <v>100.53133</v>
      </c>
      <c r="I31" s="21" t="n">
        <v>4.5</v>
      </c>
      <c r="J31" s="21" t="n">
        <v>310</v>
      </c>
      <c r="K31" s="21" t="inlineStr">
        <is>
          <t>$$</t>
        </is>
      </c>
      <c r="L31" s="21" t="inlineStr">
        <is>
          <t>Thai</t>
        </is>
      </c>
      <c r="N31" s="21" t="inlineStr">
        <is>
          <t>10:00-21:00</t>
        </is>
      </c>
      <c r="O31" s="21" t="inlineStr">
        <is>
          <t>~30 seats, open concept</t>
        </is>
      </c>
      <c r="P31" s="21" t="inlineStr">
        <is>
          <t>Walk-in only</t>
        </is>
      </c>
      <c r="S31" s="21" t="inlineStr">
        <is>
          <t>Thai street food concept</t>
        </is>
      </c>
    </row>
    <row r="32">
      <c r="A32" s="21" t="n">
        <v>31</v>
      </c>
      <c r="B32" s="21" t="inlineStr">
        <is>
          <t>2026-06-03 (TripAdvisor)</t>
        </is>
      </c>
      <c r="C32" s="21" t="inlineStr">
        <is>
          <t>tripadvisor</t>
        </is>
      </c>
      <c r="D32" s="21" t="inlineStr">
        <is>
          <t>https://www.tripadvisor.com/Search?q=KHAO-SO-i+Siam+Paragon+Bangkok</t>
        </is>
      </c>
      <c r="E32" s="21" t="inlineStr">
        <is>
          <t>KHAO-SO-i Siam Paragon</t>
        </is>
      </c>
      <c r="F32" s="21" t="inlineStr">
        <is>
          <t>Siam, Bangkok</t>
        </is>
      </c>
      <c r="G32" s="21" t="n">
        <v>13.746</v>
      </c>
      <c r="H32" s="21" t="n">
        <v>100.535</v>
      </c>
      <c r="I32" s="21" t="n">
        <v>4.5</v>
      </c>
      <c r="J32" s="21" t="n">
        <v>920</v>
      </c>
      <c r="K32" s="21" t="inlineStr">
        <is>
          <t>$$</t>
        </is>
      </c>
      <c r="L32" s="21" t="inlineStr">
        <is>
          <t>Thai/Noodles</t>
        </is>
      </c>
      <c r="N32" s="21" t="inlineStr">
        <is>
          <t>10:00-22:00</t>
        </is>
      </c>
      <c r="O32" s="21" t="inlineStr">
        <is>
          <t>~30 seats, mall setting</t>
        </is>
      </c>
      <c r="P32" s="21" t="inlineStr">
        <is>
          <t>Walk-in only</t>
        </is>
      </c>
      <c r="S32" s="21" t="inlineStr">
        <is>
          <t>Northern Thai cuisine specialty</t>
        </is>
      </c>
    </row>
    <row r="33">
      <c r="A33" s="21" t="n">
        <v>32</v>
      </c>
      <c r="B33" s="21" t="inlineStr">
        <is>
          <t>2026-06-03 (TripAdvisor)</t>
        </is>
      </c>
      <c r="C33" s="21" t="inlineStr">
        <is>
          <t>tripadvisor</t>
        </is>
      </c>
      <c r="D33" s="21" t="inlineStr">
        <is>
          <t>https://www.tripadvisor.com/Search?q=Do+Nua+-+La+Villa+Ari+Bangkok</t>
        </is>
      </c>
      <c r="E33" s="21" t="inlineStr">
        <is>
          <t>Do Nua - La Villa Ari</t>
        </is>
      </c>
      <c r="F33" s="21" t="inlineStr">
        <is>
          <t>Ari, Bangkok</t>
        </is>
      </c>
      <c r="G33" s="21" t="n">
        <v>13.773</v>
      </c>
      <c r="H33" s="21" t="n">
        <v>100.548</v>
      </c>
      <c r="I33" s="21" t="n">
        <v>4.5</v>
      </c>
      <c r="J33" s="21" t="n">
        <v>88</v>
      </c>
      <c r="K33" s="21" t="inlineStr">
        <is>
          <t>$$</t>
        </is>
      </c>
      <c r="L33" s="21" t="inlineStr">
        <is>
          <t>Thai</t>
        </is>
      </c>
      <c r="N33" s="21" t="inlineStr">
        <is>
          <t>11:00-22:00</t>
        </is>
      </c>
      <c r="O33" s="21" t="inlineStr">
        <is>
          <t>~25 seats, cozy space</t>
        </is>
      </c>
      <c r="P33" s="21" t="inlineStr">
        <is>
          <t>Reservations recommended for groups</t>
        </is>
      </c>
      <c r="S33" s="21" t="inlineStr">
        <is>
          <t>Small intimate restaurant; great food</t>
        </is>
      </c>
    </row>
    <row r="34">
      <c r="A34" s="21" t="n">
        <v>33</v>
      </c>
      <c r="B34" s="21" t="inlineStr">
        <is>
          <t>2026-06-03 (TripAdvisor)</t>
        </is>
      </c>
      <c r="C34" s="21" t="inlineStr">
        <is>
          <t>tripadvisor</t>
        </is>
      </c>
      <c r="D34" s="21" t="inlineStr">
        <is>
          <t>https://www.tripadvisor.com/Search?q=Miles+Ari+Bangkok</t>
        </is>
      </c>
      <c r="E34" s="21" t="inlineStr">
        <is>
          <t>Miles Ari</t>
        </is>
      </c>
      <c r="F34" s="21" t="inlineStr">
        <is>
          <t>Ari, Bangkok</t>
        </is>
      </c>
      <c r="G34" s="21" t="n">
        <v>13.772</v>
      </c>
      <c r="H34" s="21" t="n">
        <v>100.547</v>
      </c>
      <c r="I34" s="21" t="n">
        <v>4</v>
      </c>
      <c r="J34" s="21" t="n">
        <v>62</v>
      </c>
      <c r="K34" s="21" t="inlineStr">
        <is>
          <t>$$</t>
        </is>
      </c>
      <c r="L34" s="21" t="inlineStr">
        <is>
          <t>International</t>
        </is>
      </c>
      <c r="N34" s="21" t="inlineStr">
        <is>
          <t>09:00-21:00</t>
        </is>
      </c>
      <c r="O34" s="21" t="inlineStr">
        <is>
          <t>~35 seats, cafe style</t>
        </is>
      </c>
      <c r="P34" s="21" t="inlineStr">
        <is>
          <t>Walk-in, call for groups &gt;8</t>
        </is>
      </c>
      <c r="S34" s="21" t="inlineStr">
        <is>
          <t>Casual cafe atmosphere</t>
        </is>
      </c>
    </row>
    <row r="35">
      <c r="A35" s="21" t="n">
        <v>34</v>
      </c>
      <c r="B35" s="21" t="inlineStr">
        <is>
          <t>2026-06-03 (TripAdvisor)</t>
        </is>
      </c>
      <c r="C35" s="21" t="inlineStr">
        <is>
          <t>tripadvisor</t>
        </is>
      </c>
      <c r="D35" s="21" t="inlineStr">
        <is>
          <t>https://www.tripadvisor.com/Search?q=The+Deck+Bangkok+Bangkok</t>
        </is>
      </c>
      <c r="E35" s="21" t="inlineStr">
        <is>
          <t>The Deck Bangkok</t>
        </is>
      </c>
      <c r="F35" s="21" t="inlineStr">
        <is>
          <t>Phrom Phong, Bangkok</t>
        </is>
      </c>
      <c r="G35" s="21" t="n">
        <v>13.73</v>
      </c>
      <c r="H35" s="21" t="n">
        <v>100.569</v>
      </c>
      <c r="I35" s="21" t="n">
        <v>4.5</v>
      </c>
      <c r="J35" s="21" t="n">
        <v>865</v>
      </c>
      <c r="K35" s="21" t="inlineStr">
        <is>
          <t>$$</t>
        </is>
      </c>
      <c r="L35" s="21" t="inlineStr">
        <is>
          <t>International/Thai</t>
        </is>
      </c>
      <c r="N35" s="21" t="inlineStr">
        <is>
          <t>08:00-22:00</t>
        </is>
      </c>
      <c r="O35" s="21" t="inlineStr">
        <is>
          <t>~50 seats including terrace</t>
        </is>
      </c>
      <c r="P35" s="21" t="inlineStr">
        <is>
          <t>Reservations recommended</t>
        </is>
      </c>
      <c r="S35" s="21" t="inlineStr">
        <is>
          <t>Rooftop terrace; scenic views</t>
        </is>
      </c>
    </row>
    <row r="36">
      <c r="A36" s="21" t="n">
        <v>35</v>
      </c>
      <c r="B36" s="21" t="inlineStr">
        <is>
          <t>2026-06-03 (TripAdvisor)</t>
        </is>
      </c>
      <c r="C36" s="21" t="inlineStr">
        <is>
          <t>tripadvisor</t>
        </is>
      </c>
      <c r="D36" s="21" t="inlineStr">
        <is>
          <t>https://www.tripadvisor.com/Search?q=Yellow+Lane+Bangkok</t>
        </is>
      </c>
      <c r="E36" s="21" t="inlineStr">
        <is>
          <t>Yellow Lane</t>
        </is>
      </c>
      <c r="F36" s="21" t="inlineStr">
        <is>
          <t>Ari, Bangkok</t>
        </is>
      </c>
      <c r="G36" s="21" t="n">
        <v>13.771</v>
      </c>
      <c r="H36" s="21" t="n">
        <v>100.546</v>
      </c>
      <c r="I36" s="21" t="n">
        <v>4</v>
      </c>
      <c r="J36" s="21" t="n">
        <v>405</v>
      </c>
      <c r="K36" s="21" t="inlineStr">
        <is>
          <t>$$</t>
        </is>
      </c>
      <c r="L36" s="21" t="inlineStr">
        <is>
          <t>Cafe/Brunch</t>
        </is>
      </c>
      <c r="N36" s="21" t="inlineStr">
        <is>
          <t>08:00-17:00</t>
        </is>
      </c>
      <c r="O36" s="21" t="inlineStr">
        <is>
          <t>~30 seats, indoor/outdoor</t>
        </is>
      </c>
      <c r="P36" s="21" t="inlineStr">
        <is>
          <t>Walk-in; limited group seating</t>
        </is>
      </c>
      <c r="S36" s="21" t="inlineStr">
        <is>
          <t>Popular brunch spot</t>
        </is>
      </c>
    </row>
    <row r="37">
      <c r="A37" s="21" t="n">
        <v>36</v>
      </c>
      <c r="B37" s="21" t="inlineStr">
        <is>
          <t>2026-06-03 (TripAdvisor)</t>
        </is>
      </c>
      <c r="C37" s="21" t="inlineStr">
        <is>
          <t>tripadvisor</t>
        </is>
      </c>
      <c r="D37" s="21" t="inlineStr">
        <is>
          <t>https://www.tripadvisor.com/Search?q=Park+Sathorn+Restaurant+Bangkok</t>
        </is>
      </c>
      <c r="E37" s="21" t="inlineStr">
        <is>
          <t>Park Sathorn Restaurant</t>
        </is>
      </c>
      <c r="F37" s="21" t="inlineStr">
        <is>
          <t>Sathorn, Bangkok</t>
        </is>
      </c>
      <c r="G37" s="21" t="n">
        <v>13.7198</v>
      </c>
      <c r="H37" s="21" t="n">
        <v>100.55123</v>
      </c>
      <c r="I37" s="21" t="n">
        <v>4.3</v>
      </c>
      <c r="J37" s="21" t="n">
        <v>4</v>
      </c>
      <c r="K37" s="21" t="inlineStr">
        <is>
          <t>$$</t>
        </is>
      </c>
      <c r="L37" s="21" t="inlineStr">
        <is>
          <t>Thai</t>
        </is>
      </c>
      <c r="M37" s="21" t="inlineStr">
        <is>
          <t>+66 81 543 8888</t>
        </is>
      </c>
      <c r="N37" s="21" t="inlineStr">
        <is>
          <t>08:30-23:00</t>
        </is>
      </c>
      <c r="O37" s="21" t="inlineStr">
        <is>
          <t>Garden seating 50+, open air</t>
        </is>
      </c>
      <c r="P37" s="21" t="inlineStr">
        <is>
          <t>Reservations accepted via phone</t>
        </is>
      </c>
      <c r="S37" s="21" t="inlineStr">
        <is>
          <t>Garden oasis; confirmed group of 12 dined here</t>
        </is>
      </c>
    </row>
    <row r="38">
      <c r="A38" s="21" t="n">
        <v>37</v>
      </c>
      <c r="B38" s="21" t="inlineStr">
        <is>
          <t>2026-06-03 (TripAdvisor)</t>
        </is>
      </c>
      <c r="C38" s="21" t="inlineStr">
        <is>
          <t>tripadvisor</t>
        </is>
      </c>
      <c r="D38" s="21" t="inlineStr">
        <is>
          <t>https://www.tripadvisor.com/Search?q=CALM+Bangkok+-+Grill+Garden+&amp;+Guinguette+Bangkok</t>
        </is>
      </c>
      <c r="E38" s="21" t="inlineStr">
        <is>
          <t>CALM Bangkok - Grill, Garden &amp; Guinguette</t>
        </is>
      </c>
      <c r="F38" s="21" t="inlineStr">
        <is>
          <t>Thonglor, Bangkok</t>
        </is>
      </c>
      <c r="G38" s="21" t="n">
        <v>13.731</v>
      </c>
      <c r="H38" s="21" t="n">
        <v>100.578</v>
      </c>
      <c r="I38" s="21" t="n">
        <v>4.5</v>
      </c>
      <c r="J38" s="21" t="n">
        <v>378</v>
      </c>
      <c r="K38" s="21" t="inlineStr">
        <is>
          <t>$$$</t>
        </is>
      </c>
      <c r="L38" s="21" t="inlineStr">
        <is>
          <t>Grill/French</t>
        </is>
      </c>
      <c r="N38" s="21" t="inlineStr">
        <is>
          <t>11:00-22:00</t>
        </is>
      </c>
      <c r="O38" s="21" t="inlineStr">
        <is>
          <t>Garden ~40 seats, private areas</t>
        </is>
      </c>
      <c r="P38" s="21" t="inlineStr">
        <is>
          <t>Reservations strongly recommended</t>
        </is>
      </c>
      <c r="S38" s="21" t="inlineStr">
        <is>
          <t>Garden restaurant; group-friendly</t>
        </is>
      </c>
    </row>
    <row r="39">
      <c r="A39" s="21" t="n">
        <v>38</v>
      </c>
      <c r="B39" s="21" t="inlineStr">
        <is>
          <t>2026-06-03 (TripAdvisor)</t>
        </is>
      </c>
      <c r="C39" s="21" t="inlineStr">
        <is>
          <t>tripadvisor</t>
        </is>
      </c>
      <c r="D39" s="21" t="inlineStr">
        <is>
          <t>https://www.tripadvisor.com/Search?q=D'ARK+The+Strand+Bangkok</t>
        </is>
      </c>
      <c r="E39" s="21" t="inlineStr">
        <is>
          <t>D'ARK The Strand</t>
        </is>
      </c>
      <c r="F39" s="21" t="inlineStr">
        <is>
          <t>Thonglor, Bangkok</t>
        </is>
      </c>
      <c r="G39" s="21" t="n">
        <v>13.73</v>
      </c>
      <c r="H39" s="21" t="n">
        <v>100.575</v>
      </c>
      <c r="I39" s="21" t="n">
        <v>4</v>
      </c>
      <c r="J39" s="21" t="n">
        <v>198</v>
      </c>
      <c r="K39" s="21" t="inlineStr">
        <is>
          <t>$$</t>
        </is>
      </c>
      <c r="L39" s="21" t="inlineStr">
        <is>
          <t>Cafe/Comfort</t>
        </is>
      </c>
      <c r="N39" s="21" t="inlineStr">
        <is>
          <t>08:00-22:00</t>
        </is>
      </c>
      <c r="O39" s="21" t="inlineStr">
        <is>
          <t>~30 seats indoor</t>
        </is>
      </c>
      <c r="P39" s="21" t="inlineStr">
        <is>
          <t>Walk-in; reserve for groups</t>
        </is>
      </c>
      <c r="S39" s="21" t="inlineStr">
        <is>
          <t>Cafe ambiance; relaxed dining</t>
        </is>
      </c>
    </row>
    <row r="40">
      <c r="A40" s="21" t="n">
        <v>39</v>
      </c>
      <c r="B40" s="21" t="inlineStr">
        <is>
          <t>2026-06-03 (TripAdvisor)</t>
        </is>
      </c>
      <c r="C40" s="21" t="inlineStr">
        <is>
          <t>tripadvisor</t>
        </is>
      </c>
      <c r="D40" s="21" t="inlineStr">
        <is>
          <t>https://www.tripadvisor.com/Search?q=Supanniga+Eating+Room+Bangkok</t>
        </is>
      </c>
      <c r="E40" s="21" t="inlineStr">
        <is>
          <t>Supanniga Eating Room</t>
        </is>
      </c>
      <c r="F40" s="21" t="inlineStr">
        <is>
          <t>Thonglor, Bangkok</t>
        </is>
      </c>
      <c r="G40" s="21" t="n">
        <v>13.729</v>
      </c>
      <c r="H40" s="21" t="n">
        <v>100.576</v>
      </c>
      <c r="I40" s="21" t="n">
        <v>4</v>
      </c>
      <c r="J40" s="21" t="n">
        <v>845</v>
      </c>
      <c r="K40" s="21" t="inlineStr">
        <is>
          <t>$$</t>
        </is>
      </c>
      <c r="L40" s="21" t="inlineStr">
        <is>
          <t>Thai</t>
        </is>
      </c>
      <c r="M40" s="21" t="inlineStr">
        <is>
          <t>+66 2 714 7508</t>
        </is>
      </c>
      <c r="N40" s="21" t="inlineStr">
        <is>
          <t>11:00-22:00</t>
        </is>
      </c>
      <c r="O40" s="21" t="inlineStr">
        <is>
          <t>~40 seats, multiple rooms</t>
        </is>
      </c>
      <c r="P40" s="21" t="inlineStr">
        <is>
          <t>Reservations available</t>
        </is>
      </c>
      <c r="S40" s="21" t="inlineStr">
        <is>
          <t>Famous Thai comfort food</t>
        </is>
      </c>
    </row>
    <row r="41">
      <c r="A41" s="21" t="n">
        <v>40</v>
      </c>
      <c r="B41" s="21" t="inlineStr">
        <is>
          <t>2026-06-03 (TripAdvisor)</t>
        </is>
      </c>
      <c r="C41" s="21" t="inlineStr">
        <is>
          <t>tripadvisor</t>
        </is>
      </c>
      <c r="D41" s="21" t="inlineStr">
        <is>
          <t>https://www.tripadvisor.com/Search?q=Lazy+Daisy+Brunch+and+Bar+Bangkok</t>
        </is>
      </c>
      <c r="E41" s="21" t="inlineStr">
        <is>
          <t>Lazy Daisy Brunch and Bar</t>
        </is>
      </c>
      <c r="F41" s="21" t="inlineStr">
        <is>
          <t>Phrom Phong, Bangkok</t>
        </is>
      </c>
      <c r="G41" s="21" t="n">
        <v>13.728</v>
      </c>
      <c r="H41" s="21" t="n">
        <v>100.567</v>
      </c>
      <c r="I41" s="21" t="n">
        <v>4.5</v>
      </c>
      <c r="J41" s="21" t="n">
        <v>520</v>
      </c>
      <c r="K41" s="21" t="inlineStr">
        <is>
          <t>$$</t>
        </is>
      </c>
      <c r="L41" s="21" t="inlineStr">
        <is>
          <t>Brunch/Bar</t>
        </is>
      </c>
      <c r="N41" s="21" t="inlineStr">
        <is>
          <t>08:00-22:00</t>
        </is>
      </c>
      <c r="O41" s="21" t="inlineStr">
        <is>
          <t>~40 seats, terrace area</t>
        </is>
      </c>
      <c r="P41" s="21" t="inlineStr">
        <is>
          <t>Walk-in; book for weekends</t>
        </is>
      </c>
      <c r="S41" s="21" t="inlineStr">
        <is>
          <t>Popular all-day brunch</t>
        </is>
      </c>
    </row>
    <row r="42">
      <c r="A42" s="21" t="n">
        <v>41</v>
      </c>
      <c r="B42" s="21" t="inlineStr">
        <is>
          <t>2026-06-03 (TripAdvisor)</t>
        </is>
      </c>
      <c r="C42" s="21" t="inlineStr">
        <is>
          <t>tripadvisor</t>
        </is>
      </c>
      <c r="D42" s="21" t="inlineStr">
        <is>
          <t>https://www.tripadvisor.com/Search?q=LA+PLANTE+Bangkok</t>
        </is>
      </c>
      <c r="E42" s="21" t="inlineStr">
        <is>
          <t>LA PLANTE</t>
        </is>
      </c>
      <c r="F42" s="21" t="inlineStr">
        <is>
          <t>Asok, Bangkok</t>
        </is>
      </c>
      <c r="G42" s="21" t="n">
        <v>13.736</v>
      </c>
      <c r="H42" s="21" t="n">
        <v>100.561</v>
      </c>
      <c r="I42" s="21" t="n">
        <v>4.5</v>
      </c>
      <c r="J42" s="21" t="n">
        <v>118</v>
      </c>
      <c r="K42" s="21" t="inlineStr">
        <is>
          <t>$$$</t>
        </is>
      </c>
      <c r="L42" s="21" t="inlineStr">
        <is>
          <t>French/Bistro</t>
        </is>
      </c>
      <c r="N42" s="21" t="inlineStr">
        <is>
          <t>11:30-22:00</t>
        </is>
      </c>
      <c r="O42" s="21" t="inlineStr">
        <is>
          <t>~22 seats, intimate bistro</t>
        </is>
      </c>
      <c r="P42" s="21" t="inlineStr">
        <is>
          <t>Reservations recommended</t>
        </is>
      </c>
      <c r="S42" s="21" t="inlineStr">
        <is>
          <t>Small French bistro</t>
        </is>
      </c>
    </row>
    <row r="43">
      <c r="A43" s="21" t="n">
        <v>42</v>
      </c>
      <c r="B43" s="21" t="inlineStr">
        <is>
          <t>2026-06-03 (TripAdvisor)</t>
        </is>
      </c>
      <c r="C43" s="21" t="inlineStr">
        <is>
          <t>tripadvisor</t>
        </is>
      </c>
      <c r="D43" s="21" t="inlineStr">
        <is>
          <t>https://www.tripadvisor.com/Search?q=The+Gardens+of+Dinsor+Palace+Bangkok</t>
        </is>
      </c>
      <c r="E43" s="21" t="inlineStr">
        <is>
          <t>The Gardens of Dinsor Palace</t>
        </is>
      </c>
      <c r="F43" s="21" t="inlineStr">
        <is>
          <t>Thonglor, Bangkok</t>
        </is>
      </c>
      <c r="G43" s="21" t="n">
        <v>13.728</v>
      </c>
      <c r="H43" s="21" t="n">
        <v>100.579</v>
      </c>
      <c r="I43" s="21" t="n">
        <v>4</v>
      </c>
      <c r="J43" s="21" t="n">
        <v>920</v>
      </c>
      <c r="K43" s="21" t="inlineStr">
        <is>
          <t>$$$</t>
        </is>
      </c>
      <c r="L43" s="21" t="inlineStr">
        <is>
          <t>European/Thai</t>
        </is>
      </c>
      <c r="N43" s="21" t="inlineStr">
        <is>
          <t>11:00-22:00</t>
        </is>
      </c>
      <c r="O43" s="21" t="inlineStr">
        <is>
          <t>Garden 60+, multiple zones</t>
        </is>
      </c>
      <c r="P43" s="21" t="inlineStr">
        <is>
          <t>Reservations recommended</t>
        </is>
      </c>
      <c r="S43" s="21" t="inlineStr">
        <is>
          <t>Heritage garden venue; great for groups</t>
        </is>
      </c>
    </row>
    <row r="44">
      <c r="A44" s="21" t="n">
        <v>43</v>
      </c>
      <c r="B44" s="21" t="inlineStr">
        <is>
          <t>2026-06-03 (TripAdvisor)</t>
        </is>
      </c>
      <c r="C44" s="21" t="inlineStr">
        <is>
          <t>tripadvisor</t>
        </is>
      </c>
      <c r="D44" s="21" t="inlineStr">
        <is>
          <t>https://www.tripadvisor.com/Search?q=Kiani+Korean+Restaurant+Thonglor+Bangkok</t>
        </is>
      </c>
      <c r="E44" s="21" t="inlineStr">
        <is>
          <t>Kiani Korean Restaurant Thonglor</t>
        </is>
      </c>
      <c r="F44" s="21" t="inlineStr">
        <is>
          <t>Thonglor, Bangkok</t>
        </is>
      </c>
      <c r="G44" s="21" t="n">
        <v>13.732</v>
      </c>
      <c r="H44" s="21" t="n">
        <v>100.577</v>
      </c>
      <c r="I44" s="21" t="n">
        <v>4.5</v>
      </c>
      <c r="J44" s="21" t="n">
        <v>598</v>
      </c>
      <c r="K44" s="21" t="inlineStr">
        <is>
          <t>$</t>
        </is>
      </c>
      <c r="L44" s="21" t="inlineStr">
        <is>
          <t>Korean</t>
        </is>
      </c>
      <c r="N44" s="21" t="inlineStr">
        <is>
          <t>11:00-23:00</t>
        </is>
      </c>
      <c r="O44" s="21" t="inlineStr">
        <is>
          <t>~30 seats, BBQ tables</t>
        </is>
      </c>
      <c r="P44" s="21" t="inlineStr">
        <is>
          <t>Walk-in preferred; call for groups</t>
        </is>
      </c>
      <c r="S44" s="21" t="inlineStr">
        <is>
          <t>Korean BBQ style</t>
        </is>
      </c>
    </row>
    <row r="45">
      <c r="A45" s="21" t="n">
        <v>44</v>
      </c>
      <c r="B45" s="21" t="inlineStr">
        <is>
          <t>2026-06-03 (TripAdvisor)</t>
        </is>
      </c>
      <c r="C45" s="21" t="inlineStr">
        <is>
          <t>tripadvisor</t>
        </is>
      </c>
      <c r="D45" s="21" t="inlineStr">
        <is>
          <t>https://www.tripadvisor.com/Search?q=Gigi+Eatery+Asoke+Bangkok</t>
        </is>
      </c>
      <c r="E45" s="21" t="inlineStr">
        <is>
          <t>Gigi Eatery Asoke</t>
        </is>
      </c>
      <c r="F45" s="21" t="inlineStr">
        <is>
          <t>Asok, Bangkok</t>
        </is>
      </c>
      <c r="G45" s="21" t="n">
        <v>13.737</v>
      </c>
      <c r="H45" s="21" t="n">
        <v>100.56</v>
      </c>
      <c r="I45" s="21" t="n">
        <v>4.5</v>
      </c>
      <c r="J45" s="21" t="n">
        <v>1654</v>
      </c>
      <c r="K45" s="21" t="inlineStr">
        <is>
          <t>$$$</t>
        </is>
      </c>
      <c r="L45" s="21" t="inlineStr">
        <is>
          <t>Italian</t>
        </is>
      </c>
      <c r="N45" s="21" t="inlineStr">
        <is>
          <t>11:00-22:00</t>
        </is>
      </c>
      <c r="O45" s="21" t="inlineStr">
        <is>
          <t>~45 seats, open kitchen</t>
        </is>
      </c>
      <c r="P45" s="21" t="inlineStr">
        <is>
          <t>Reservations recommended</t>
        </is>
      </c>
      <c r="S45" s="21" t="inlineStr">
        <is>
          <t>Trendy Italian; very popular</t>
        </is>
      </c>
    </row>
    <row r="46">
      <c r="A46" s="21" t="n">
        <v>45</v>
      </c>
      <c r="B46" s="21" t="inlineStr">
        <is>
          <t>2026-06-03 (TripAdvisor)</t>
        </is>
      </c>
      <c r="C46" s="21" t="inlineStr">
        <is>
          <t>tripadvisor</t>
        </is>
      </c>
      <c r="D46" s="21" t="inlineStr">
        <is>
          <t>https://www.tripadvisor.com/Search?q=Mad+Moa+Asok+Bangkok</t>
        </is>
      </c>
      <c r="E46" s="21" t="inlineStr">
        <is>
          <t>Mad Moa Asok</t>
        </is>
      </c>
      <c r="F46" s="21" t="inlineStr">
        <is>
          <t>Asok, Bangkok</t>
        </is>
      </c>
      <c r="G46" s="21" t="n">
        <v>13.738</v>
      </c>
      <c r="H46" s="21" t="n">
        <v>100.562</v>
      </c>
      <c r="I46" s="21" t="n">
        <v>4.5</v>
      </c>
      <c r="J46" s="21" t="n">
        <v>78</v>
      </c>
      <c r="K46" s="21" t="inlineStr">
        <is>
          <t>$$</t>
        </is>
      </c>
      <c r="L46" s="21" t="inlineStr">
        <is>
          <t>Western</t>
        </is>
      </c>
      <c r="N46" s="21" t="inlineStr">
        <is>
          <t>11:00-22:00</t>
        </is>
      </c>
      <c r="O46" s="21" t="inlineStr">
        <is>
          <t>~16 seats, small venue</t>
        </is>
      </c>
      <c r="P46" s="21" t="inlineStr">
        <is>
          <t>Walk-in only; small space</t>
        </is>
      </c>
      <c r="S46" s="21" t="inlineStr">
        <is>
          <t>Craft burgers; small capacity</t>
        </is>
      </c>
    </row>
    <row r="47">
      <c r="A47" s="21" t="n">
        <v>46</v>
      </c>
      <c r="B47" s="21" t="inlineStr">
        <is>
          <t>2026-06-03 (TripAdvisor)</t>
        </is>
      </c>
      <c r="C47" s="21" t="inlineStr">
        <is>
          <t>tripadvisor</t>
        </is>
      </c>
      <c r="D47" s="21" t="inlineStr">
        <is>
          <t>https://www.tripadvisor.com/Search?q=BARTELS+Asok+Bangkok</t>
        </is>
      </c>
      <c r="E47" s="21" t="inlineStr">
        <is>
          <t>BARTELS Asok</t>
        </is>
      </c>
      <c r="F47" s="21" t="inlineStr">
        <is>
          <t>Asok, Bangkok</t>
        </is>
      </c>
      <c r="G47" s="21" t="n">
        <v>13.737</v>
      </c>
      <c r="H47" s="21" t="n">
        <v>100.561</v>
      </c>
      <c r="I47" s="21" t="n">
        <v>4.5</v>
      </c>
      <c r="J47" s="21" t="n">
        <v>1180</v>
      </c>
      <c r="K47" s="21" t="inlineStr">
        <is>
          <t>$$</t>
        </is>
      </c>
      <c r="L47" s="21" t="inlineStr">
        <is>
          <t>Brunch</t>
        </is>
      </c>
      <c r="N47" s="21" t="inlineStr">
        <is>
          <t>08:00-17:00</t>
        </is>
      </c>
      <c r="O47" s="21" t="inlineStr">
        <is>
          <t>~30 seats indoor/outdoor</t>
        </is>
      </c>
      <c r="P47" s="21" t="inlineStr">
        <is>
          <t>Walk-in; limited group seating</t>
        </is>
      </c>
      <c r="S47" s="21" t="inlineStr">
        <is>
          <t>Popular brunch destination</t>
        </is>
      </c>
    </row>
    <row r="48">
      <c r="A48" s="21" t="n">
        <v>47</v>
      </c>
      <c r="B48" s="21" t="inlineStr">
        <is>
          <t>2026-06-03 (TripAdvisor)</t>
        </is>
      </c>
      <c r="C48" s="21" t="inlineStr">
        <is>
          <t>tripadvisor</t>
        </is>
      </c>
      <c r="D48" s="21" t="inlineStr">
        <is>
          <t>https://www.tripadvisor.com/Search?q=Nara+Thai+Cuisine+Terminal+21+Asoke+Bangkok</t>
        </is>
      </c>
      <c r="E48" s="21" t="inlineStr">
        <is>
          <t>Nara Thai Cuisine Terminal 21 Asoke</t>
        </is>
      </c>
      <c r="F48" s="21" t="inlineStr">
        <is>
          <t>Asok, Bangkok</t>
        </is>
      </c>
      <c r="G48" s="21" t="n">
        <v>13.738</v>
      </c>
      <c r="H48" s="21" t="n">
        <v>100.56</v>
      </c>
      <c r="I48" s="21" t="n">
        <v>4.5</v>
      </c>
      <c r="J48" s="21" t="n">
        <v>552</v>
      </c>
      <c r="K48" s="21" t="inlineStr">
        <is>
          <t>$$</t>
        </is>
      </c>
      <c r="L48" s="21" t="inlineStr">
        <is>
          <t>Thai</t>
        </is>
      </c>
      <c r="M48" s="21" t="inlineStr">
        <is>
          <t>+66 2 108 0555</t>
        </is>
      </c>
      <c r="N48" s="21" t="inlineStr">
        <is>
          <t>10:00-22:00</t>
        </is>
      </c>
      <c r="O48" s="21" t="inlineStr">
        <is>
          <t>~50 seats, large restaurant</t>
        </is>
      </c>
      <c r="P48" s="21" t="inlineStr">
        <is>
          <t>Reservations available</t>
        </is>
      </c>
      <c r="S48" s="21" t="inlineStr">
        <is>
          <t>Reliable Thai; mall location good for groups</t>
        </is>
      </c>
    </row>
    <row r="49">
      <c r="A49" s="21" t="n">
        <v>48</v>
      </c>
      <c r="B49" s="21" t="inlineStr">
        <is>
          <t>2026-06-03 (TripAdvisor)</t>
        </is>
      </c>
      <c r="C49" s="21" t="inlineStr">
        <is>
          <t>tripadvisor</t>
        </is>
      </c>
      <c r="D49" s="21" t="inlineStr">
        <is>
          <t>https://www.tripadvisor.com/Search?q=CEDAR+Thai+Restaurant+Bangkok</t>
        </is>
      </c>
      <c r="E49" s="21" t="inlineStr">
        <is>
          <t>CEDAR Thai Restaurant</t>
        </is>
      </c>
      <c r="F49" s="21" t="inlineStr">
        <is>
          <t>Asok, Bangkok</t>
        </is>
      </c>
      <c r="G49" s="21" t="n">
        <v>13.736</v>
      </c>
      <c r="H49" s="21" t="n">
        <v>100.56</v>
      </c>
      <c r="I49" s="21" t="n">
        <v>4.5</v>
      </c>
      <c r="J49" s="21" t="n">
        <v>16</v>
      </c>
      <c r="K49" s="21" t="inlineStr">
        <is>
          <t>$$</t>
        </is>
      </c>
      <c r="L49" s="21" t="inlineStr">
        <is>
          <t>Thai</t>
        </is>
      </c>
      <c r="N49" s="21" t="inlineStr">
        <is>
          <t>11:00-22:00</t>
        </is>
      </c>
      <c r="O49" s="21" t="inlineStr">
        <is>
          <t>~35 seats</t>
        </is>
      </c>
      <c r="P49" s="21" t="inlineStr">
        <is>
          <t>Reservations available</t>
        </is>
      </c>
      <c r="S49" s="21" t="inlineStr">
        <is>
          <t>New Thai restaurant; limited reviews</t>
        </is>
      </c>
    </row>
    <row r="50">
      <c r="A50" s="21" t="n">
        <v>49</v>
      </c>
      <c r="B50" s="21" t="inlineStr">
        <is>
          <t>2026-06-03 (TripAdvisor)</t>
        </is>
      </c>
      <c r="C50" s="21" t="inlineStr">
        <is>
          <t>tripadvisor</t>
        </is>
      </c>
      <c r="D50" s="21" t="inlineStr">
        <is>
          <t>https://www.tripadvisor.com/Search?q=PEPE+Bangkok+Bangkok</t>
        </is>
      </c>
      <c r="E50" s="21" t="inlineStr">
        <is>
          <t>PEPE Bangkok</t>
        </is>
      </c>
      <c r="F50" s="21" t="inlineStr">
        <is>
          <t>Phrom Phong, Bangkok</t>
        </is>
      </c>
      <c r="G50" s="21" t="n">
        <v>13.73</v>
      </c>
      <c r="H50" s="21" t="n">
        <v>100.568</v>
      </c>
      <c r="I50" s="21" t="n">
        <v>4.5</v>
      </c>
      <c r="J50" s="21" t="n">
        <v>428</v>
      </c>
      <c r="K50" s="21" t="inlineStr">
        <is>
          <t>$$$</t>
        </is>
      </c>
      <c r="L50" s="21" t="inlineStr">
        <is>
          <t>Asian Fusion</t>
        </is>
      </c>
      <c r="N50" s="21" t="inlineStr">
        <is>
          <t>11:00-22:00</t>
        </is>
      </c>
      <c r="O50" s="21" t="inlineStr">
        <is>
          <t>~30 seats, intimate</t>
        </is>
      </c>
      <c r="P50" s="21" t="inlineStr">
        <is>
          <t>Reservations recommended</t>
        </is>
      </c>
      <c r="S50" s="21" t="inlineStr">
        <is>
          <t>Asian fusion; popular with groups</t>
        </is>
      </c>
    </row>
    <row r="51">
      <c r="A51" s="21" t="n">
        <v>50</v>
      </c>
      <c r="B51" s="21" t="inlineStr">
        <is>
          <t>2026-06-03 (TripAdvisor)</t>
        </is>
      </c>
      <c r="C51" s="21" t="inlineStr">
        <is>
          <t>tripadvisor</t>
        </is>
      </c>
      <c r="D51" s="21" t="inlineStr">
        <is>
          <t>https://www.tripadvisor.com/Search?q=Florae+Restaurant+Bangkok</t>
        </is>
      </c>
      <c r="E51" s="21" t="inlineStr">
        <is>
          <t>Florae Restaurant</t>
        </is>
      </c>
      <c r="F51" s="21" t="inlineStr">
        <is>
          <t>Phrom Phong, Bangkok</t>
        </is>
      </c>
      <c r="G51" s="21" t="n">
        <v>13.729</v>
      </c>
      <c r="H51" s="21" t="n">
        <v>100.567</v>
      </c>
      <c r="I51" s="21" t="n">
        <v>4.5</v>
      </c>
      <c r="J51" s="21" t="n">
        <v>310</v>
      </c>
      <c r="K51" s="21" t="inlineStr">
        <is>
          <t>$$$</t>
        </is>
      </c>
      <c r="L51" s="21" t="inlineStr">
        <is>
          <t>International</t>
        </is>
      </c>
      <c r="N51" s="21" t="inlineStr">
        <is>
          <t>11:00-22:00</t>
        </is>
      </c>
      <c r="O51" s="21" t="inlineStr">
        <is>
          <t>~40 seats, garden terrace</t>
        </is>
      </c>
      <c r="P51" s="21" t="inlineStr">
        <is>
          <t>Reservations recommended</t>
        </is>
      </c>
      <c r="S51" s="21" t="inlineStr">
        <is>
          <t>Botanical garden theme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20" customWidth="1" style="21" min="2" max="2"/>
    <col width="11" customWidth="1" style="21" min="3" max="3"/>
    <col width="16" customWidth="1" style="21" min="4" max="4"/>
    <col width="30" customWidth="1" style="21" min="5" max="5"/>
    <col width="9" customWidth="1" style="21" min="6" max="8"/>
    <col width="16" customWidth="1" style="21" min="9" max="9"/>
    <col width="9" customWidth="1" style="21" min="10" max="10"/>
    <col width="15" customWidth="1" style="21" min="11" max="11"/>
    <col width="16" customWidth="1" style="21" min="12" max="12"/>
    <col width="11" customWidth="1" style="21" min="13" max="13"/>
    <col width="13" customWidth="1" style="21" min="14" max="14"/>
    <col width="17" customWidth="1" style="21" min="15" max="15"/>
    <col width="14" customWidth="1" style="21" min="16" max="16"/>
    <col width="22" customWidth="1" style="21" min="17" max="17"/>
    <col width="15" customWidth="1" style="21" min="18" max="18"/>
    <col width="13" customWidth="1" style="21" min="19" max="19"/>
    <col width="11" customWidth="1" style="21" min="20" max="20"/>
    <col width="26" customWidth="1" style="21" min="21" max="21"/>
    <col width="28" customWidth="1" style="21" min="22" max="22"/>
    <col width="13" customWidth="1" style="21" min="23" max="23"/>
    <col width="14" customWidth="1" style="21" min="24" max="25"/>
  </cols>
  <sheetData>
    <row r="1" ht="23.25" customHeight="1" s="22">
      <c r="A1" s="23" t="inlineStr">
        <is>
          <t>restaurant_id</t>
        </is>
      </c>
      <c r="B1" s="23" t="inlineStr">
        <is>
          <t>name</t>
        </is>
      </c>
      <c r="C1" s="23" t="inlineStr">
        <is>
          <t>source_count</t>
        </is>
      </c>
      <c r="D1" s="23" t="inlineStr">
        <is>
          <t>sources_used</t>
        </is>
      </c>
      <c r="E1" s="23" t="inlineStr">
        <is>
          <t>address</t>
        </is>
      </c>
      <c r="F1" s="23" t="inlineStr">
        <is>
          <t>lat</t>
        </is>
      </c>
      <c r="G1" s="23" t="inlineStr">
        <is>
          <t>lng</t>
        </is>
      </c>
      <c r="H1" s="23" t="inlineStr">
        <is>
          <t>rating_avg</t>
        </is>
      </c>
      <c r="I1" s="23" t="inlineStr">
        <is>
          <t>review_count_total</t>
        </is>
      </c>
      <c r="J1" s="23" t="inlineStr">
        <is>
          <t>price_tier</t>
        </is>
      </c>
      <c r="K1" s="23" t="inlineStr">
        <is>
          <t>est_price_per_head</t>
        </is>
      </c>
      <c r="L1" s="23" t="inlineStr">
        <is>
          <t>cuisine</t>
        </is>
      </c>
      <c r="M1" s="23" t="inlineStr">
        <is>
          <t>capacity_max</t>
        </is>
      </c>
      <c r="N1" s="23" t="inlineStr">
        <is>
          <t>group_friendly</t>
        </is>
      </c>
      <c r="O1" s="23" t="inlineStr">
        <is>
          <t>reservation_available</t>
        </is>
      </c>
      <c r="P1" s="23" t="inlineStr">
        <is>
          <t>travel_time_min</t>
        </is>
      </c>
      <c r="Q1" s="23" t="inlineStr">
        <is>
          <t>transit_parking</t>
        </is>
      </c>
      <c r="R1" s="23" t="inlineStr">
        <is>
          <t>phone</t>
        </is>
      </c>
      <c r="S1" s="23" t="inlineStr">
        <is>
          <t>hours</t>
        </is>
      </c>
      <c r="T1" s="23" t="inlineStr">
        <is>
          <t>photos_count</t>
        </is>
      </c>
      <c r="U1" s="23" t="inlineStr">
        <is>
          <t>menu_url</t>
        </is>
      </c>
      <c r="V1" s="23" t="inlineStr">
        <is>
          <t>signature_features</t>
        </is>
      </c>
      <c r="W1" s="23" t="inlineStr">
        <is>
          <t>uniqueness_1to5</t>
        </is>
      </c>
      <c r="X1" s="23" t="inlineStr">
        <is>
          <t>completeness_pct</t>
        </is>
      </c>
      <c r="Y1" s="23" t="inlineStr">
        <is>
          <t>hard_filter_pass</t>
        </is>
      </c>
    </row>
    <row r="2" ht="15" customHeight="1" s="22">
      <c r="A2" s="25" t="inlineStr">
        <is>
          <t>R001</t>
        </is>
      </c>
      <c r="B2" s="25" t="inlineStr">
        <is>
          <t>Pizzeria Da Michele Bangkok</t>
        </is>
      </c>
      <c r="C2" s="25" t="n">
        <v>2</v>
      </c>
      <c r="D2" s="25" t="inlineStr">
        <is>
          <t>google+tripadvisor</t>
        </is>
      </c>
      <c r="E2" s="25" t="inlineStr">
        <is>
          <t>Siam, Bangkok</t>
        </is>
      </c>
      <c r="F2" s="25" t="n">
        <v>13.74739</v>
      </c>
      <c r="G2" s="25" t="n">
        <v>100.535122</v>
      </c>
      <c r="H2" s="25" t="n">
        <v>4.6</v>
      </c>
      <c r="I2" s="25" t="n">
        <v>1631</v>
      </c>
      <c r="J2" s="25" t="n">
        <v>3</v>
      </c>
      <c r="K2" s="29" t="n">
        <v>750</v>
      </c>
      <c r="L2" s="25" t="inlineStr">
        <is>
          <t>Italian</t>
        </is>
      </c>
      <c r="M2" s="29" t="n">
        <v>30</v>
      </c>
      <c r="N2" s="29" t="inlineStr">
        <is>
          <t>Y</t>
        </is>
      </c>
      <c r="O2" s="29" t="inlineStr">
        <is>
          <t>Y</t>
        </is>
      </c>
      <c r="P2" s="29" t="n">
        <v>10</v>
      </c>
      <c r="Q2" s="25" t="n"/>
      <c r="R2" s="25" t="inlineStr">
        <is>
          <t>+66 81 849 4620</t>
        </is>
      </c>
      <c r="S2" s="25" t="inlineStr">
        <is>
          <t>11:00-22:30</t>
        </is>
      </c>
      <c r="T2" s="25" t="n"/>
      <c r="U2" s="25" t="n"/>
      <c r="V2" s="25" t="inlineStr">
        <is>
          <t>Authentic Naples wood-fired pizza</t>
        </is>
      </c>
      <c r="W2" s="29" t="n">
        <v>4</v>
      </c>
      <c r="X2" s="31">
        <f>IF($B2="","",COUNTA(E2,H2,I2,J2,K2,L2,M2,O2,P2,R2,S2,T2,U2,V2,W2)/15)</f>
        <v/>
      </c>
      <c r="Y2" s="31">
        <f>IF($B2="","",IF(AND(M2&gt;=Config!$B$8,OR(Config!$B$9="",ISERROR(SEARCH(Config!$B$9,L2)))),"Y","N"))</f>
        <v/>
      </c>
    </row>
    <row r="3" ht="15" customHeight="1" s="22">
      <c r="A3" s="25" t="inlineStr">
        <is>
          <t>R002</t>
        </is>
      </c>
      <c r="B3" s="25" t="inlineStr">
        <is>
          <t>Jim Thompson, A Thai Restaurant</t>
        </is>
      </c>
      <c r="C3" s="25" t="n">
        <v>2</v>
      </c>
      <c r="D3" s="25" t="inlineStr">
        <is>
          <t>google+tripadvisor</t>
        </is>
      </c>
      <c r="E3" s="25" t="inlineStr">
        <is>
          <t>Siam, Bangkok</t>
        </is>
      </c>
      <c r="F3" s="25" t="n">
        <v>13.749104</v>
      </c>
      <c r="G3" s="25" t="n">
        <v>100.528576</v>
      </c>
      <c r="H3" s="25" t="n">
        <v>4.65</v>
      </c>
      <c r="I3" s="25" t="n">
        <v>5467</v>
      </c>
      <c r="J3" s="25" t="n">
        <v>3</v>
      </c>
      <c r="K3" s="29" t="n">
        <v>750</v>
      </c>
      <c r="L3" s="25" t="inlineStr">
        <is>
          <t>Thai</t>
        </is>
      </c>
      <c r="M3" s="29" t="n">
        <v>60</v>
      </c>
      <c r="N3" s="29" t="inlineStr">
        <is>
          <t>Y</t>
        </is>
      </c>
      <c r="O3" s="29" t="inlineStr">
        <is>
          <t>Y</t>
        </is>
      </c>
      <c r="P3" s="29" t="n">
        <v>12</v>
      </c>
      <c r="Q3" s="25" t="n"/>
      <c r="R3" s="25" t="inlineStr">
        <is>
          <t>+66 61 421 8951</t>
        </is>
      </c>
      <c r="S3" s="25" t="inlineStr">
        <is>
          <t>11:30-22:00</t>
        </is>
      </c>
      <c r="T3" s="25" t="n"/>
      <c r="U3" s="25" t="n"/>
      <c r="V3" s="25" t="inlineStr">
        <is>
          <t>Heritage riverside Thai fine dining</t>
        </is>
      </c>
      <c r="W3" s="29" t="n">
        <v>5</v>
      </c>
      <c r="X3" s="31">
        <f>IF($B3="","",COUNTA(E3,H3,I3,J3,K3,L3,M3,O3,P3,R3,S3,T3,U3,V3,W3)/15)</f>
        <v/>
      </c>
      <c r="Y3" s="31">
        <f>IF($B3="","",IF(AND(M3&gt;=Config!$B$8,OR(Config!$B$9="",ISERROR(SEARCH(Config!$B$9,L3)))),"Y","N"))</f>
        <v/>
      </c>
    </row>
    <row r="4" ht="15" customHeight="1" s="22">
      <c r="A4" s="25" t="inlineStr">
        <is>
          <t>R003</t>
        </is>
      </c>
      <c r="B4" s="25" t="inlineStr">
        <is>
          <t>White Flower Factory</t>
        </is>
      </c>
      <c r="C4" s="25" t="n">
        <v>2</v>
      </c>
      <c r="D4" s="25" t="inlineStr">
        <is>
          <t>google+tripadvisor</t>
        </is>
      </c>
      <c r="E4" s="25" t="inlineStr">
        <is>
          <t>Siam, Bangkok</t>
        </is>
      </c>
      <c r="F4" s="25" t="n">
        <v>13.74533</v>
      </c>
      <c r="G4" s="25" t="n">
        <v>100.533788</v>
      </c>
      <c r="H4" s="25" t="n">
        <v>4.3</v>
      </c>
      <c r="I4" s="25" t="n">
        <v>2416</v>
      </c>
      <c r="J4" s="25" t="n">
        <v>2</v>
      </c>
      <c r="K4" s="29" t="n">
        <v>400</v>
      </c>
      <c r="L4" s="25" t="inlineStr">
        <is>
          <t>Thai / Fusion</t>
        </is>
      </c>
      <c r="M4" s="29" t="n">
        <v>40</v>
      </c>
      <c r="N4" s="29" t="inlineStr">
        <is>
          <t>Y</t>
        </is>
      </c>
      <c r="O4" s="29" t="inlineStr">
        <is>
          <t>Y</t>
        </is>
      </c>
      <c r="P4" s="29" t="n">
        <v>10</v>
      </c>
      <c r="Q4" s="25" t="n"/>
      <c r="R4" s="25" t="inlineStr">
        <is>
          <t>+66 99 002 0897</t>
        </is>
      </c>
      <c r="S4" s="25" t="inlineStr">
        <is>
          <t>10:30-22:00</t>
        </is>
      </c>
      <c r="T4" s="25" t="n"/>
      <c r="U4" s="25" t="n"/>
      <c r="V4" s="25" t="inlineStr">
        <is>
          <t>Wide Thai menu, BTS view</t>
        </is>
      </c>
      <c r="W4" s="29" t="n">
        <v>3</v>
      </c>
      <c r="X4" s="31">
        <f>IF($B4="","",COUNTA(E4,H4,I4,J4,K4,L4,M4,O4,P4,R4,S4,T4,U4,V4,W4)/15)</f>
        <v/>
      </c>
      <c r="Y4" s="31">
        <f>IF($B4="","",IF(AND(M4&gt;=Config!$B$8,OR(Config!$B$9="",ISERROR(SEARCH(Config!$B$9,L4)))),"Y","N"))</f>
        <v/>
      </c>
    </row>
    <row r="5" ht="15" customHeight="1" s="22">
      <c r="A5" s="25" t="inlineStr">
        <is>
          <t>R004</t>
        </is>
      </c>
      <c r="B5" s="25" t="inlineStr">
        <is>
          <t>Mozza By Cocotte Siam Paragon</t>
        </is>
      </c>
      <c r="C5" s="25" t="n">
        <v>2</v>
      </c>
      <c r="D5" s="25" t="inlineStr">
        <is>
          <t>google+tripadvisor</t>
        </is>
      </c>
      <c r="E5" s="25" t="inlineStr">
        <is>
          <t>Siam, Bangkok</t>
        </is>
      </c>
      <c r="F5" s="25" t="n">
        <v>13.74696</v>
      </c>
      <c r="G5" s="25" t="n">
        <v>100.53417</v>
      </c>
      <c r="H5" s="25" t="n">
        <v>4.6</v>
      </c>
      <c r="I5" s="25" t="n">
        <v>2186</v>
      </c>
      <c r="J5" s="25" t="n">
        <v>4</v>
      </c>
      <c r="K5" s="29" t="n">
        <v>1100</v>
      </c>
      <c r="L5" s="25" t="inlineStr">
        <is>
          <t>Italian</t>
        </is>
      </c>
      <c r="M5" s="29" t="n">
        <v>35</v>
      </c>
      <c r="N5" s="29" t="inlineStr">
        <is>
          <t>Y</t>
        </is>
      </c>
      <c r="O5" s="29" t="inlineStr">
        <is>
          <t>Y</t>
        </is>
      </c>
      <c r="P5" s="29" t="n">
        <v>10</v>
      </c>
      <c r="Q5" s="25" t="n"/>
      <c r="R5" s="25" t="inlineStr">
        <is>
          <t>+66 62 208 8828</t>
        </is>
      </c>
      <c r="S5" s="25" t="inlineStr">
        <is>
          <t>10:00-21:30</t>
        </is>
      </c>
      <c r="T5" s="25" t="n"/>
      <c r="U5" s="25" t="n"/>
      <c r="V5" s="25" t="inlineStr">
        <is>
          <t>Italian comfort, halal-friendly</t>
        </is>
      </c>
      <c r="W5" s="29" t="n">
        <v>4</v>
      </c>
      <c r="X5" s="32">
        <f>IF($B5="","",COUNTA(E5,H5,I5,J5,K5,L5,M5,O5,P5,R5,S5,T5,U5,V5,W5)/15)</f>
        <v/>
      </c>
      <c r="Y5" s="32">
        <f>IF($B5="","",IF(AND(M5&gt;=Config!$B$8,OR(Config!$B$9="",ISERROR(SEARCH(Config!$B$9,L5)))),"Y","N"))</f>
        <v/>
      </c>
    </row>
    <row r="6" ht="15" customHeight="1" s="22">
      <c r="A6" s="25" t="inlineStr">
        <is>
          <t>R005</t>
        </is>
      </c>
      <c r="B6" s="25" t="inlineStr">
        <is>
          <t>EASY! buddy Siam Center</t>
        </is>
      </c>
      <c r="C6" s="25" t="n">
        <v>2</v>
      </c>
      <c r="D6" s="25" t="inlineStr">
        <is>
          <t>google+tripadvisor</t>
        </is>
      </c>
      <c r="E6" s="25" t="inlineStr">
        <is>
          <t>Siam, Bangkok</t>
        </is>
      </c>
      <c r="F6" s="25" t="n">
        <v>13.746252</v>
      </c>
      <c r="G6" s="25" t="n">
        <v>100.532863</v>
      </c>
      <c r="H6" s="25" t="n">
        <v>4.6</v>
      </c>
      <c r="I6" s="25" t="n">
        <v>1135</v>
      </c>
      <c r="J6" s="25" t="n">
        <v>2</v>
      </c>
      <c r="K6" s="29" t="n">
        <v>400</v>
      </c>
      <c r="L6" s="25" t="inlineStr">
        <is>
          <t>Thai</t>
        </is>
      </c>
      <c r="M6" s="29" t="n">
        <v>30</v>
      </c>
      <c r="N6" s="29" t="inlineStr">
        <is>
          <t>N</t>
        </is>
      </c>
      <c r="O6" s="29" t="inlineStr">
        <is>
          <t>N</t>
        </is>
      </c>
      <c r="P6" s="29" t="n">
        <v>10</v>
      </c>
      <c r="Q6" s="25" t="n"/>
      <c r="R6" s="25" t="inlineStr">
        <is>
          <t>+66 2 129 6920</t>
        </is>
      </c>
      <c r="S6" s="25" t="inlineStr">
        <is>
          <t>10:00-21:15</t>
        </is>
      </c>
      <c r="T6" s="25" t="n"/>
      <c r="U6" s="25" t="n"/>
      <c r="V6" s="25" t="inlineStr">
        <is>
          <t>Customisable Thai rice sets</t>
        </is>
      </c>
      <c r="W6" s="29" t="n">
        <v>3</v>
      </c>
      <c r="X6" s="32">
        <f>IF($B6="","",COUNTA(E6,H6,I6,J6,K6,L6,M6,O6,P6,R6,S6,T6,U6,V6,W6)/15)</f>
        <v/>
      </c>
      <c r="Y6" s="32">
        <f>IF($B6="","",IF(AND(M6&gt;=Config!$B$8,OR(Config!$B$9="",ISERROR(SEARCH(Config!$B$9,L6)))),"Y","N"))</f>
        <v/>
      </c>
    </row>
    <row r="7" ht="15" customHeight="1" s="22">
      <c r="A7" s="25" t="inlineStr">
        <is>
          <t>R006</t>
        </is>
      </c>
      <c r="B7" s="25" t="inlineStr">
        <is>
          <t>KHAO-SO-i Siam Paragon</t>
        </is>
      </c>
      <c r="C7" s="25" t="n">
        <v>2</v>
      </c>
      <c r="D7" s="25" t="inlineStr">
        <is>
          <t>google+tripadvisor</t>
        </is>
      </c>
      <c r="E7" s="25" t="inlineStr">
        <is>
          <t>Siam, Bangkok</t>
        </is>
      </c>
      <c r="F7" s="25" t="n">
        <v>13.746458</v>
      </c>
      <c r="G7" s="25" t="n">
        <v>100.534831</v>
      </c>
      <c r="H7" s="25" t="n">
        <v>4.65</v>
      </c>
      <c r="I7" s="25" t="n">
        <v>2655</v>
      </c>
      <c r="J7" s="25" t="n">
        <v>2</v>
      </c>
      <c r="K7" s="29" t="n">
        <v>400</v>
      </c>
      <c r="L7" s="25" t="inlineStr">
        <is>
          <t>Thai / Noodles</t>
        </is>
      </c>
      <c r="M7" s="29" t="n">
        <v>30</v>
      </c>
      <c r="N7" s="29" t="inlineStr">
        <is>
          <t>N</t>
        </is>
      </c>
      <c r="O7" s="29" t="inlineStr">
        <is>
          <t>N</t>
        </is>
      </c>
      <c r="P7" s="29" t="n">
        <v>10</v>
      </c>
      <c r="Q7" s="25" t="n"/>
      <c r="R7" s="25" t="inlineStr">
        <is>
          <t>+66 80 073 0238</t>
        </is>
      </c>
      <c r="S7" s="25" t="inlineStr">
        <is>
          <t>10:00-22:00</t>
        </is>
      </c>
      <c r="T7" s="25" t="n"/>
      <c r="U7" s="25" t="n"/>
      <c r="V7" s="25" t="inlineStr">
        <is>
          <t>Elevated Northern khao soi</t>
        </is>
      </c>
      <c r="W7" s="29" t="n">
        <v>4</v>
      </c>
      <c r="X7" s="32">
        <f>IF($B7="","",COUNTA(E7,H7,I7,J7,K7,L7,M7,O7,P7,R7,S7,T7,U7,V7,W7)/15)</f>
        <v/>
      </c>
      <c r="Y7" s="32">
        <f>IF($B7="","",IF(AND(M7&gt;=Config!$B$8,OR(Config!$B$9="",ISERROR(SEARCH(Config!$B$9,L7)))),"Y","N"))</f>
        <v/>
      </c>
    </row>
    <row r="8" ht="15" customHeight="1" s="22">
      <c r="A8" s="25" t="inlineStr">
        <is>
          <t>R007</t>
        </is>
      </c>
      <c r="B8" s="25" t="inlineStr">
        <is>
          <t>Do Nua - La Villa Ari</t>
        </is>
      </c>
      <c r="C8" s="25" t="n">
        <v>2</v>
      </c>
      <c r="D8" s="25" t="inlineStr">
        <is>
          <t>google+tripadvisor</t>
        </is>
      </c>
      <c r="E8" s="25" t="inlineStr">
        <is>
          <t>Ari, Bangkok</t>
        </is>
      </c>
      <c r="F8" s="25" t="n">
        <v>13.780063</v>
      </c>
      <c r="G8" s="25" t="n">
        <v>100.545301</v>
      </c>
      <c r="H8" s="25" t="n">
        <v>4.7</v>
      </c>
      <c r="I8" s="25" t="n">
        <v>243</v>
      </c>
      <c r="J8" s="25" t="n">
        <v>2</v>
      </c>
      <c r="K8" s="29" t="n">
        <v>400</v>
      </c>
      <c r="L8" s="25" t="inlineStr">
        <is>
          <t>Thai</t>
        </is>
      </c>
      <c r="M8" s="29" t="n">
        <v>25</v>
      </c>
      <c r="N8" s="29" t="inlineStr">
        <is>
          <t>Y</t>
        </is>
      </c>
      <c r="O8" s="29" t="inlineStr">
        <is>
          <t>Y</t>
        </is>
      </c>
      <c r="P8" s="29" t="n">
        <v>17</v>
      </c>
      <c r="Q8" s="25" t="n"/>
      <c r="R8" s="25" t="inlineStr">
        <is>
          <t>+66 62 546 0562</t>
        </is>
      </c>
      <c r="S8" s="25" t="inlineStr">
        <is>
          <t>11:00-22:00</t>
        </is>
      </c>
      <c r="T8" s="25" t="n"/>
      <c r="U8" s="25" t="n"/>
      <c r="V8" s="25" t="inlineStr">
        <is>
          <t>Creative som tum dishes</t>
        </is>
      </c>
      <c r="W8" s="29" t="n">
        <v>4</v>
      </c>
      <c r="X8" s="32">
        <f>IF($B8="","",COUNTA(E8,H8,I8,J8,K8,L8,M8,O8,P8,R8,S8,T8,U8,V8,W8)/15)</f>
        <v/>
      </c>
      <c r="Y8" s="32">
        <f>IF($B8="","",IF(AND(M8&gt;=Config!$B$8,OR(Config!$B$9="",ISERROR(SEARCH(Config!$B$9,L8)))),"Y","N"))</f>
        <v/>
      </c>
    </row>
    <row r="9" ht="15" customHeight="1" s="22">
      <c r="A9" s="25" t="inlineStr">
        <is>
          <t>R008</t>
        </is>
      </c>
      <c r="B9" s="25" t="inlineStr">
        <is>
          <t>Miles Ari</t>
        </is>
      </c>
      <c r="C9" s="25" t="n">
        <v>2</v>
      </c>
      <c r="D9" s="25" t="inlineStr">
        <is>
          <t>google+tripadvisor</t>
        </is>
      </c>
      <c r="E9" s="25" t="inlineStr">
        <is>
          <t>Ari, Bangkok</t>
        </is>
      </c>
      <c r="F9" s="25" t="n">
        <v>13.778774</v>
      </c>
      <c r="G9" s="25" t="n">
        <v>100.538057</v>
      </c>
      <c r="H9" s="25" t="n">
        <v>4.2</v>
      </c>
      <c r="I9" s="25" t="n">
        <v>177</v>
      </c>
      <c r="J9" s="25" t="n">
        <v>2</v>
      </c>
      <c r="K9" s="29" t="n">
        <v>400</v>
      </c>
      <c r="L9" s="25" t="inlineStr">
        <is>
          <t>International</t>
        </is>
      </c>
      <c r="M9" s="29" t="n">
        <v>35</v>
      </c>
      <c r="N9" s="29" t="inlineStr">
        <is>
          <t>Y</t>
        </is>
      </c>
      <c r="O9" s="29" t="inlineStr">
        <is>
          <t>Y</t>
        </is>
      </c>
      <c r="P9" s="29" t="n">
        <v>18</v>
      </c>
      <c r="Q9" s="25" t="n"/>
      <c r="R9" s="25" t="inlineStr">
        <is>
          <t>+66 95 325 2289</t>
        </is>
      </c>
      <c r="S9" s="25" t="inlineStr">
        <is>
          <t>10:00-22:00</t>
        </is>
      </c>
      <c r="T9" s="25" t="n"/>
      <c r="U9" s="25" t="n"/>
      <c r="V9" s="25" t="inlineStr">
        <is>
          <t>Garden style, live music, craft beers</t>
        </is>
      </c>
      <c r="W9" s="29" t="n">
        <v>3</v>
      </c>
      <c r="X9" s="32">
        <f>IF($B9="","",COUNTA(E9,H9,I9,J9,K9,L9,M9,O9,P9,R9,S9,T9,U9,V9,W9)/15)</f>
        <v/>
      </c>
      <c r="Y9" s="32">
        <f>IF($B9="","",IF(AND(M9&gt;=Config!$B$8,OR(Config!$B$9="",ISERROR(SEARCH(Config!$B$9,L9)))),"Y","N"))</f>
        <v/>
      </c>
    </row>
    <row r="10" ht="15" customHeight="1" s="22">
      <c r="A10" s="25" t="inlineStr">
        <is>
          <t>R009</t>
        </is>
      </c>
      <c r="B10" s="25" t="inlineStr">
        <is>
          <t>The Deck Bangkok</t>
        </is>
      </c>
      <c r="C10" s="25" t="n">
        <v>2</v>
      </c>
      <c r="D10" s="25" t="inlineStr">
        <is>
          <t>google+tripadvisor</t>
        </is>
      </c>
      <c r="E10" s="25" t="inlineStr">
        <is>
          <t>Phrom Phong, Bangkok</t>
        </is>
      </c>
      <c r="F10" s="25" t="n">
        <v>13.732177</v>
      </c>
      <c r="G10" s="25" t="n">
        <v>100.563992</v>
      </c>
      <c r="H10" s="25" t="n">
        <v>4.65</v>
      </c>
      <c r="I10" s="25" t="n">
        <v>2546</v>
      </c>
      <c r="J10" s="25" t="n">
        <v>2</v>
      </c>
      <c r="K10" s="29" t="n">
        <v>400</v>
      </c>
      <c r="L10" s="25" t="inlineStr">
        <is>
          <t>International / Thai</t>
        </is>
      </c>
      <c r="M10" s="29" t="n">
        <v>50</v>
      </c>
      <c r="N10" s="29" t="inlineStr">
        <is>
          <t>Y</t>
        </is>
      </c>
      <c r="O10" s="29" t="inlineStr">
        <is>
          <t>Y</t>
        </is>
      </c>
      <c r="P10" s="29" t="n">
        <v>5</v>
      </c>
      <c r="Q10" s="25" t="n"/>
      <c r="R10" s="25" t="inlineStr">
        <is>
          <t>+66 95 239 0805</t>
        </is>
      </c>
      <c r="S10" s="25" t="inlineStr">
        <is>
          <t>07:30-24:00</t>
        </is>
      </c>
      <c r="T10" s="25" t="n"/>
      <c r="U10" s="25" t="n"/>
      <c r="V10" s="25" t="inlineStr">
        <is>
          <t>All-day dining, brunch &amp; buffet events</t>
        </is>
      </c>
      <c r="W10" s="29" t="n">
        <v>4</v>
      </c>
      <c r="X10" s="32">
        <f>IF($B10="","",COUNTA(E10,H10,I10,J10,K10,L10,M10,O10,P10,R10,S10,T10,U10,V10,W10)/15)</f>
        <v/>
      </c>
      <c r="Y10" s="32">
        <f>IF($B10="","",IF(AND(M10&gt;=Config!$B$8,OR(Config!$B$9="",ISERROR(SEARCH(Config!$B$9,L10)))),"Y","N"))</f>
        <v/>
      </c>
    </row>
    <row r="11" ht="15" customHeight="1" s="22">
      <c r="A11" s="25" t="inlineStr">
        <is>
          <t>R010</t>
        </is>
      </c>
      <c r="B11" s="25" t="inlineStr">
        <is>
          <t>Yellow Lane</t>
        </is>
      </c>
      <c r="C11" s="25" t="n">
        <v>2</v>
      </c>
      <c r="D11" s="25" t="inlineStr">
        <is>
          <t>google+tripadvisor</t>
        </is>
      </c>
      <c r="E11" s="25" t="inlineStr">
        <is>
          <t>Ari, Bangkok</t>
        </is>
      </c>
      <c r="F11" s="25" t="n">
        <v>13.77521</v>
      </c>
      <c r="G11" s="25" t="n">
        <v>100.539816</v>
      </c>
      <c r="H11" s="25" t="n">
        <v>4.25</v>
      </c>
      <c r="I11" s="25" t="n">
        <v>1261</v>
      </c>
      <c r="J11" s="25" t="n">
        <v>2</v>
      </c>
      <c r="K11" s="29" t="n">
        <v>400</v>
      </c>
      <c r="L11" s="25" t="inlineStr">
        <is>
          <t>Cafe / Brunch</t>
        </is>
      </c>
      <c r="M11" s="29" t="n">
        <v>30</v>
      </c>
      <c r="N11" s="29" t="inlineStr">
        <is>
          <t>N</t>
        </is>
      </c>
      <c r="O11" s="29" t="inlineStr">
        <is>
          <t>N</t>
        </is>
      </c>
      <c r="P11" s="29" t="n">
        <v>16</v>
      </c>
      <c r="Q11" s="25" t="n"/>
      <c r="R11" s="25" t="inlineStr">
        <is>
          <t>+66 65 123 8378</t>
        </is>
      </c>
      <c r="S11" s="25" t="inlineStr">
        <is>
          <t>07:30-22:00</t>
        </is>
      </c>
      <c r="T11" s="25" t="n"/>
      <c r="U11" s="25" t="n"/>
      <c r="V11" s="25" t="inlineStr">
        <is>
          <t>Jungle-cafe greenery, brunch</t>
        </is>
      </c>
      <c r="W11" s="29" t="n">
        <v>4</v>
      </c>
      <c r="X11" s="32">
        <f>IF($B11="","",COUNTA(E11,H11,I11,J11,K11,L11,M11,O11,P11,R11,S11,T11,U11,V11,W11)/15)</f>
        <v/>
      </c>
      <c r="Y11" s="32">
        <f>IF($B11="","",IF(AND(M11&gt;=Config!$B$8,OR(Config!$B$9="",ISERROR(SEARCH(Config!$B$9,L11)))),"Y","N"))</f>
        <v/>
      </c>
    </row>
    <row r="12" ht="15" customHeight="1" s="22">
      <c r="A12" s="25" t="inlineStr">
        <is>
          <t>R011</t>
        </is>
      </c>
      <c r="B12" s="25" t="inlineStr">
        <is>
          <t>Park Sathorn Restaurant</t>
        </is>
      </c>
      <c r="C12" s="25" t="n">
        <v>2</v>
      </c>
      <c r="D12" s="25" t="inlineStr">
        <is>
          <t>google+tripadvisor</t>
        </is>
      </c>
      <c r="E12" s="25" t="inlineStr">
        <is>
          <t>Sathorn, Bangkok</t>
        </is>
      </c>
      <c r="F12" s="25" t="n">
        <v>13.719795</v>
      </c>
      <c r="G12" s="25" t="n">
        <v>100.551228</v>
      </c>
      <c r="H12" s="25" t="n">
        <v>4.45</v>
      </c>
      <c r="I12" s="25" t="n">
        <v>575</v>
      </c>
      <c r="J12" s="25" t="n">
        <v>2</v>
      </c>
      <c r="K12" s="29" t="n">
        <v>400</v>
      </c>
      <c r="L12" s="25" t="inlineStr">
        <is>
          <t>Thai</t>
        </is>
      </c>
      <c r="M12" s="29" t="n">
        <v>50</v>
      </c>
      <c r="N12" s="29" t="inlineStr">
        <is>
          <t>Y</t>
        </is>
      </c>
      <c r="O12" s="29" t="inlineStr">
        <is>
          <t>Y</t>
        </is>
      </c>
      <c r="P12" s="29" t="n">
        <v>7</v>
      </c>
      <c r="Q12" s="25" t="n"/>
      <c r="R12" s="25" t="inlineStr">
        <is>
          <t>+66 81 543 8888</t>
        </is>
      </c>
      <c r="S12" s="25" t="inlineStr">
        <is>
          <t>09:00-22:30</t>
        </is>
      </c>
      <c r="T12" s="25" t="n"/>
      <c r="U12" s="25" t="n"/>
      <c r="V12" s="25" t="inlineStr">
        <is>
          <t>Garden, waterfall &amp; dance show</t>
        </is>
      </c>
      <c r="W12" s="29" t="n">
        <v>5</v>
      </c>
      <c r="X12" s="32">
        <f>IF($B12="","",COUNTA(E12,H12,I12,J12,K12,L12,M12,O12,P12,R12,S12,T12,U12,V12,W12)/15)</f>
        <v/>
      </c>
      <c r="Y12" s="32">
        <f>IF($B12="","",IF(AND(M12&gt;=Config!$B$8,OR(Config!$B$9="",ISERROR(SEARCH(Config!$B$9,L12)))),"Y","N"))</f>
        <v/>
      </c>
    </row>
    <row r="13" ht="15" customHeight="1" s="22">
      <c r="A13" s="25" t="inlineStr">
        <is>
          <t>R012</t>
        </is>
      </c>
      <c r="B13" s="25" t="inlineStr">
        <is>
          <t>CALM Bangkok - Grill, Garden &amp; Guinguette</t>
        </is>
      </c>
      <c r="C13" s="25" t="n">
        <v>2</v>
      </c>
      <c r="D13" s="25" t="inlineStr">
        <is>
          <t>google+tripadvisor</t>
        </is>
      </c>
      <c r="E13" s="25" t="inlineStr">
        <is>
          <t>Thonglor, Bangkok</t>
        </is>
      </c>
      <c r="F13" s="25" t="n">
        <v>13.742943</v>
      </c>
      <c r="G13" s="25" t="n">
        <v>100.567848</v>
      </c>
      <c r="H13" s="25" t="n">
        <v>4.65</v>
      </c>
      <c r="I13" s="25" t="n">
        <v>1134</v>
      </c>
      <c r="J13" s="25" t="n">
        <v>3</v>
      </c>
      <c r="K13" s="29" t="n">
        <v>750</v>
      </c>
      <c r="L13" s="25" t="inlineStr">
        <is>
          <t>Grill / French</t>
        </is>
      </c>
      <c r="M13" s="29" t="n">
        <v>40</v>
      </c>
      <c r="N13" s="29" t="inlineStr">
        <is>
          <t>Y</t>
        </is>
      </c>
      <c r="O13" s="29" t="inlineStr">
        <is>
          <t>Y</t>
        </is>
      </c>
      <c r="P13" s="29" t="n">
        <v>5</v>
      </c>
      <c r="Q13" s="25" t="n"/>
      <c r="R13" s="25" t="inlineStr">
        <is>
          <t>+66 64 197 0432</t>
        </is>
      </c>
      <c r="S13" s="25" t="inlineStr">
        <is>
          <t>16:30-24:00</t>
        </is>
      </c>
      <c r="T13" s="25" t="n"/>
      <c r="U13" s="25" t="n"/>
      <c r="V13" s="25" t="inlineStr">
        <is>
          <t>Garden grill &amp; beer garden</t>
        </is>
      </c>
      <c r="W13" s="29" t="n">
        <v>4</v>
      </c>
      <c r="X13" s="32">
        <f>IF($B13="","",COUNTA(E13,H13,I13,J13,K13,L13,M13,O13,P13,R13,S13,T13,U13,V13,W13)/15)</f>
        <v/>
      </c>
      <c r="Y13" s="32">
        <f>IF($B13="","",IF(AND(M13&gt;=Config!$B$8,OR(Config!$B$9="",ISERROR(SEARCH(Config!$B$9,L13)))),"Y","N"))</f>
        <v/>
      </c>
    </row>
    <row r="14" ht="15" customHeight="1" s="22">
      <c r="A14" s="25" t="inlineStr">
        <is>
          <t>R013</t>
        </is>
      </c>
      <c r="B14" s="25" t="inlineStr">
        <is>
          <t>D'ARK The Strand</t>
        </is>
      </c>
      <c r="C14" s="25" t="n">
        <v>2</v>
      </c>
      <c r="D14" s="25" t="inlineStr">
        <is>
          <t>google+tripadvisor</t>
        </is>
      </c>
      <c r="E14" s="25" t="inlineStr">
        <is>
          <t>Thonglor, Bangkok</t>
        </is>
      </c>
      <c r="F14" s="25" t="n">
        <v>13.724157</v>
      </c>
      <c r="G14" s="25" t="n">
        <v>100.579645</v>
      </c>
      <c r="H14" s="25" t="n">
        <v>4.2</v>
      </c>
      <c r="I14" s="25" t="n">
        <v>611</v>
      </c>
      <c r="J14" s="25" t="n">
        <v>2</v>
      </c>
      <c r="K14" s="29" t="n">
        <v>400</v>
      </c>
      <c r="L14" s="25" t="inlineStr">
        <is>
          <t>Cafe / Comfort</t>
        </is>
      </c>
      <c r="M14" s="29" t="n">
        <v>30</v>
      </c>
      <c r="N14" s="29" t="inlineStr">
        <is>
          <t>Y</t>
        </is>
      </c>
      <c r="O14" s="29" t="inlineStr">
        <is>
          <t>Y</t>
        </is>
      </c>
      <c r="P14" s="29" t="n">
        <v>8</v>
      </c>
      <c r="Q14" s="25" t="n"/>
      <c r="R14" s="25" t="inlineStr">
        <is>
          <t>+66 2 030 1970</t>
        </is>
      </c>
      <c r="S14" s="25" t="inlineStr">
        <is>
          <t>07:00-22:00</t>
        </is>
      </c>
      <c r="T14" s="25" t="n"/>
      <c r="U14" s="25" t="n"/>
      <c r="V14" s="25" t="inlineStr">
        <is>
          <t>Comfort food &amp; specialty coffee</t>
        </is>
      </c>
      <c r="W14" s="29" t="n">
        <v>3</v>
      </c>
      <c r="X14" s="32">
        <f>IF($B14="","",COUNTA(E14,H14,I14,J14,K14,L14,M14,O14,P14,R14,S14,T14,U14,V14,W14)/15)</f>
        <v/>
      </c>
      <c r="Y14" s="32">
        <f>IF($B14="","",IF(AND(M14&gt;=Config!$B$8,OR(Config!$B$9="",ISERROR(SEARCH(Config!$B$9,L14)))),"Y","N"))</f>
        <v/>
      </c>
    </row>
    <row r="15" ht="15" customHeight="1" s="22">
      <c r="A15" s="25" t="inlineStr">
        <is>
          <t>R014</t>
        </is>
      </c>
      <c r="B15" s="25" t="inlineStr">
        <is>
          <t>Supanniga Eating Room by Khun Yai</t>
        </is>
      </c>
      <c r="C15" s="25" t="n">
        <v>2</v>
      </c>
      <c r="D15" s="25" t="inlineStr">
        <is>
          <t>google+tripadvisor</t>
        </is>
      </c>
      <c r="E15" s="25" t="inlineStr">
        <is>
          <t>Thonglor, Bangkok</t>
        </is>
      </c>
      <c r="F15" s="25" t="n">
        <v>13.730222</v>
      </c>
      <c r="G15" s="25" t="n">
        <v>100.581535</v>
      </c>
      <c r="H15" s="25" t="n">
        <v>4.2</v>
      </c>
      <c r="I15" s="25" t="n">
        <v>2572</v>
      </c>
      <c r="J15" s="25" t="n">
        <v>2</v>
      </c>
      <c r="K15" s="29" t="n">
        <v>400</v>
      </c>
      <c r="L15" s="25" t="inlineStr">
        <is>
          <t>Thai</t>
        </is>
      </c>
      <c r="M15" s="29" t="n">
        <v>40</v>
      </c>
      <c r="N15" s="29" t="inlineStr">
        <is>
          <t>Y</t>
        </is>
      </c>
      <c r="O15" s="29" t="inlineStr">
        <is>
          <t>Y</t>
        </is>
      </c>
      <c r="P15" s="29" t="n">
        <v>8</v>
      </c>
      <c r="Q15" s="25" t="n"/>
      <c r="R15" s="25" t="inlineStr">
        <is>
          <t>+66 91 774 9808</t>
        </is>
      </c>
      <c r="S15" s="25" t="inlineStr">
        <is>
          <t>10:00-22:00</t>
        </is>
      </c>
      <c r="T15" s="25" t="n"/>
      <c r="U15" s="25" t="n"/>
      <c r="V15" s="25" t="inlineStr">
        <is>
          <t>Trat &amp; Isan heritage Thai</t>
        </is>
      </c>
      <c r="W15" s="29" t="n">
        <v>4</v>
      </c>
      <c r="X15" s="32">
        <f>IF($B15="","",COUNTA(E15,H15,I15,J15,K15,L15,M15,O15,P15,R15,S15,T15,U15,V15,W15)/15)</f>
        <v/>
      </c>
      <c r="Y15" s="32">
        <f>IF($B15="","",IF(AND(M15&gt;=Config!$B$8,OR(Config!$B$9="",ISERROR(SEARCH(Config!$B$9,L15)))),"Y","N"))</f>
        <v/>
      </c>
    </row>
    <row r="16" ht="15" customHeight="1" s="22">
      <c r="A16" s="25" t="inlineStr">
        <is>
          <t>R015</t>
        </is>
      </c>
      <c r="B16" s="25" t="inlineStr">
        <is>
          <t>Lazy Daisy Brunch and Bar</t>
        </is>
      </c>
      <c r="C16" s="25" t="n">
        <v>2</v>
      </c>
      <c r="D16" s="25" t="inlineStr">
        <is>
          <t>google+tripadvisor</t>
        </is>
      </c>
      <c r="E16" s="25" t="inlineStr">
        <is>
          <t>Phrom Phong, Bangkok</t>
        </is>
      </c>
      <c r="F16" s="25" t="n">
        <v>13.729117</v>
      </c>
      <c r="G16" s="25" t="n">
        <v>100.561409</v>
      </c>
      <c r="H16" s="25" t="n">
        <v>4.65</v>
      </c>
      <c r="I16" s="25" t="n">
        <v>1653</v>
      </c>
      <c r="J16" s="25" t="n">
        <v>2</v>
      </c>
      <c r="K16" s="29" t="n">
        <v>400</v>
      </c>
      <c r="L16" s="25" t="inlineStr">
        <is>
          <t>Brunch / Bar</t>
        </is>
      </c>
      <c r="M16" s="29" t="n">
        <v>40</v>
      </c>
      <c r="N16" s="29" t="inlineStr">
        <is>
          <t>Y</t>
        </is>
      </c>
      <c r="O16" s="29" t="inlineStr">
        <is>
          <t>Y</t>
        </is>
      </c>
      <c r="P16" s="29" t="n">
        <v>5</v>
      </c>
      <c r="Q16" s="25" t="n"/>
      <c r="R16" s="25" t="inlineStr">
        <is>
          <t>+66 94 466 4254</t>
        </is>
      </c>
      <c r="S16" s="25" t="inlineStr">
        <is>
          <t>06:00-24:00</t>
        </is>
      </c>
      <c r="T16" s="25" t="n"/>
      <c r="U16" s="25" t="n"/>
      <c r="V16" s="25" t="inlineStr">
        <is>
          <t>Themed decor, group-friendly brunch</t>
        </is>
      </c>
      <c r="W16" s="29" t="n">
        <v>4</v>
      </c>
      <c r="X16" s="32">
        <f>IF($B16="","",COUNTA(E16,H16,I16,J16,K16,L16,M16,O16,P16,R16,S16,T16,U16,V16,W16)/15)</f>
        <v/>
      </c>
      <c r="Y16" s="32">
        <f>IF($B16="","",IF(AND(M16&gt;=Config!$B$8,OR(Config!$B$9="",ISERROR(SEARCH(Config!$B$9,L16)))),"Y","N"))</f>
        <v/>
      </c>
    </row>
    <row r="17" ht="15" customHeight="1" s="22">
      <c r="A17" s="25" t="inlineStr">
        <is>
          <t>R016</t>
        </is>
      </c>
      <c r="B17" s="25" t="inlineStr">
        <is>
          <t>LA PLANTE</t>
        </is>
      </c>
      <c r="C17" s="25" t="n">
        <v>2</v>
      </c>
      <c r="D17" s="25" t="inlineStr">
        <is>
          <t>google+tripadvisor</t>
        </is>
      </c>
      <c r="E17" s="25" t="inlineStr">
        <is>
          <t>Asok, Bangkok</t>
        </is>
      </c>
      <c r="F17" s="25" t="n">
        <v>13.737579</v>
      </c>
      <c r="G17" s="25" t="n">
        <v>100.567333</v>
      </c>
      <c r="H17" s="25" t="n">
        <v>4.55</v>
      </c>
      <c r="I17" s="25" t="n">
        <v>379</v>
      </c>
      <c r="J17" s="25" t="n">
        <v>3</v>
      </c>
      <c r="K17" s="29" t="n">
        <v>750</v>
      </c>
      <c r="L17" s="25" t="inlineStr">
        <is>
          <t>French / Bistro</t>
        </is>
      </c>
      <c r="M17" s="29" t="n">
        <v>22</v>
      </c>
      <c r="N17" s="29" t="inlineStr">
        <is>
          <t>Y</t>
        </is>
      </c>
      <c r="O17" s="29" t="inlineStr">
        <is>
          <t>Y</t>
        </is>
      </c>
      <c r="P17" s="29" t="n">
        <v>5</v>
      </c>
      <c r="Q17" s="25" t="n"/>
      <c r="R17" s="25" t="inlineStr">
        <is>
          <t>+66 98 830 0063</t>
        </is>
      </c>
      <c r="S17" s="25" t="inlineStr">
        <is>
          <t>08:00-22:00</t>
        </is>
      </c>
      <c r="T17" s="25" t="n"/>
      <c r="U17" s="25" t="n"/>
      <c r="V17" s="25" t="inlineStr">
        <is>
          <t>Cozy bistro, organic produce</t>
        </is>
      </c>
      <c r="W17" s="29" t="n">
        <v>3</v>
      </c>
      <c r="X17" s="32">
        <f>IF($B17="","",COUNTA(E17,H17,I17,J17,K17,L17,M17,O17,P17,R17,S17,T17,U17,V17,W17)/15)</f>
        <v/>
      </c>
      <c r="Y17" s="32">
        <f>IF($B17="","",IF(AND(M17&gt;=Config!$B$8,OR(Config!$B$9="",ISERROR(SEARCH(Config!$B$9,L17)))),"Y","N"))</f>
        <v/>
      </c>
    </row>
    <row r="18" ht="15" customHeight="1" s="22">
      <c r="A18" s="25" t="inlineStr">
        <is>
          <t>R017</t>
        </is>
      </c>
      <c r="B18" s="25" t="inlineStr">
        <is>
          <t>The Gardens of Dinsor Palace</t>
        </is>
      </c>
      <c r="C18" s="25" t="n">
        <v>2</v>
      </c>
      <c r="D18" s="25" t="inlineStr">
        <is>
          <t>google+tripadvisor</t>
        </is>
      </c>
      <c r="E18" s="25" t="inlineStr">
        <is>
          <t>Thonglor, Bangkok</t>
        </is>
      </c>
      <c r="F18" s="25" t="n">
        <v>13.722617</v>
      </c>
      <c r="G18" s="25" t="n">
        <v>100.582282</v>
      </c>
      <c r="H18" s="25" t="n">
        <v>4.2</v>
      </c>
      <c r="I18" s="25" t="n">
        <v>2722</v>
      </c>
      <c r="J18" s="25" t="n">
        <v>3</v>
      </c>
      <c r="K18" s="29" t="n">
        <v>750</v>
      </c>
      <c r="L18" s="25" t="inlineStr">
        <is>
          <t>European / Thai</t>
        </is>
      </c>
      <c r="M18" s="29" t="n">
        <v>60</v>
      </c>
      <c r="N18" s="29" t="inlineStr">
        <is>
          <t>Y</t>
        </is>
      </c>
      <c r="O18" s="29" t="inlineStr">
        <is>
          <t>Y</t>
        </is>
      </c>
      <c r="P18" s="29" t="n">
        <v>10</v>
      </c>
      <c r="Q18" s="25" t="n"/>
      <c r="R18" s="25" t="inlineStr">
        <is>
          <t>+66 93 124 7730</t>
        </is>
      </c>
      <c r="S18" s="25" t="inlineStr">
        <is>
          <t>10:00-22:00</t>
        </is>
      </c>
      <c r="T18" s="25" t="n"/>
      <c r="U18" s="25" t="n"/>
      <c r="V18" s="25" t="inlineStr">
        <is>
          <t>Garden palace, events &amp; weddings</t>
        </is>
      </c>
      <c r="W18" s="29" t="n">
        <v>5</v>
      </c>
      <c r="X18" s="32">
        <f>IF($B18="","",COUNTA(E18,H18,I18,J18,K18,L18,M18,O18,P18,R18,S18,T18,U18,V18,W18)/15)</f>
        <v/>
      </c>
      <c r="Y18" s="32">
        <f>IF($B18="","",IF(AND(M18&gt;=Config!$B$8,OR(Config!$B$9="",ISERROR(SEARCH(Config!$B$9,L18)))),"Y","N"))</f>
        <v/>
      </c>
    </row>
    <row r="19" ht="15" customHeight="1" s="22">
      <c r="A19" s="25" t="inlineStr">
        <is>
          <t>R018</t>
        </is>
      </c>
      <c r="B19" s="25" t="inlineStr">
        <is>
          <t>Kiani Korean Restaurant Thonglor</t>
        </is>
      </c>
      <c r="C19" s="25" t="n">
        <v>2</v>
      </c>
      <c r="D19" s="25" t="inlineStr">
        <is>
          <t>google+tripadvisor</t>
        </is>
      </c>
      <c r="E19" s="25" t="inlineStr">
        <is>
          <t>Thonglor, Bangkok</t>
        </is>
      </c>
      <c r="F19" s="25" t="n">
        <v>13.726003</v>
      </c>
      <c r="G19" s="25" t="n">
        <v>100.580468</v>
      </c>
      <c r="H19" s="25" t="n">
        <v>4.65</v>
      </c>
      <c r="I19" s="25" t="n">
        <v>1861</v>
      </c>
      <c r="J19" s="25" t="n">
        <v>1</v>
      </c>
      <c r="K19" s="29" t="n">
        <v>180</v>
      </c>
      <c r="L19" s="25" t="inlineStr">
        <is>
          <t>Korean</t>
        </is>
      </c>
      <c r="M19" s="29" t="n">
        <v>30</v>
      </c>
      <c r="N19" s="29" t="inlineStr">
        <is>
          <t>Y</t>
        </is>
      </c>
      <c r="O19" s="29" t="inlineStr">
        <is>
          <t>N</t>
        </is>
      </c>
      <c r="P19" s="29" t="n">
        <v>8</v>
      </c>
      <c r="Q19" s="25" t="n"/>
      <c r="R19" s="25" t="inlineStr">
        <is>
          <t>+66 84 220 8282</t>
        </is>
      </c>
      <c r="S19" s="25" t="inlineStr">
        <is>
          <t>11:00-21:30</t>
        </is>
      </c>
      <c r="T19" s="25" t="n"/>
      <c r="U19" s="25" t="n"/>
      <c r="V19" s="25" t="inlineStr">
        <is>
          <t>Authentic Korean, vegetarian section</t>
        </is>
      </c>
      <c r="W19" s="29" t="n">
        <v>4</v>
      </c>
      <c r="X19" s="32">
        <f>IF($B19="","",COUNTA(E19,H19,I19,J19,K19,L19,M19,O19,P19,R19,S19,T19,U19,V19,W19)/15)</f>
        <v/>
      </c>
      <c r="Y19" s="32">
        <f>IF($B19="","",IF(AND(M19&gt;=Config!$B$8,OR(Config!$B$9="",ISERROR(SEARCH(Config!$B$9,L19)))),"Y","N"))</f>
        <v/>
      </c>
    </row>
    <row r="20" ht="15" customHeight="1" s="22">
      <c r="A20" s="25" t="inlineStr">
        <is>
          <t>R019</t>
        </is>
      </c>
      <c r="B20" s="25" t="inlineStr">
        <is>
          <t>Gigi Eatery Asoke</t>
        </is>
      </c>
      <c r="C20" s="25" t="n">
        <v>2</v>
      </c>
      <c r="D20" s="25" t="inlineStr">
        <is>
          <t>google+tripadvisor</t>
        </is>
      </c>
      <c r="E20" s="25" t="inlineStr">
        <is>
          <t>Asok, Bangkok</t>
        </is>
      </c>
      <c r="F20" s="25" t="n">
        <v>13.73947</v>
      </c>
      <c r="G20" s="25" t="n">
        <v>100.560177</v>
      </c>
      <c r="H20" s="25" t="n">
        <v>4.65</v>
      </c>
      <c r="I20" s="25" t="n">
        <v>4989</v>
      </c>
      <c r="J20" s="25" t="n">
        <v>3</v>
      </c>
      <c r="K20" s="29" t="n">
        <v>750</v>
      </c>
      <c r="L20" s="25" t="inlineStr">
        <is>
          <t>Italian</t>
        </is>
      </c>
      <c r="M20" s="29" t="n">
        <v>45</v>
      </c>
      <c r="N20" s="29" t="inlineStr">
        <is>
          <t>Y</t>
        </is>
      </c>
      <c r="O20" s="29" t="inlineStr">
        <is>
          <t>Y</t>
        </is>
      </c>
      <c r="P20" s="29" t="n">
        <v>5</v>
      </c>
      <c r="Q20" s="25" t="n"/>
      <c r="R20" s="25" t="inlineStr">
        <is>
          <t>+66 61 995 6060</t>
        </is>
      </c>
      <c r="S20" s="25" t="inlineStr">
        <is>
          <t>07:00-24:00</t>
        </is>
      </c>
      <c r="T20" s="25" t="n"/>
      <c r="U20" s="25" t="n"/>
      <c r="V20" s="25" t="inlineStr">
        <is>
          <t>Stylish all-day Italian</t>
        </is>
      </c>
      <c r="W20" s="29" t="n">
        <v>4</v>
      </c>
      <c r="X20" s="32">
        <f>IF($B20="","",COUNTA(E20,H20,I20,J20,K20,L20,M20,O20,P20,R20,S20,T20,U20,V20,W20)/15)</f>
        <v/>
      </c>
      <c r="Y20" s="32">
        <f>IF($B20="","",IF(AND(M20&gt;=Config!$B$8,OR(Config!$B$9="",ISERROR(SEARCH(Config!$B$9,L20)))),"Y","N"))</f>
        <v/>
      </c>
    </row>
    <row r="21" ht="15" customHeight="1" s="22">
      <c r="A21" s="25" t="inlineStr">
        <is>
          <t>R020</t>
        </is>
      </c>
      <c r="B21" s="25" t="inlineStr">
        <is>
          <t>Mad Moa Asok</t>
        </is>
      </c>
      <c r="C21" s="25" t="n">
        <v>2</v>
      </c>
      <c r="D21" s="25" t="inlineStr">
        <is>
          <t>google+tripadvisor</t>
        </is>
      </c>
      <c r="E21" s="25" t="inlineStr">
        <is>
          <t>Asok, Bangkok</t>
        </is>
      </c>
      <c r="F21" s="25" t="n">
        <v>13.740386</v>
      </c>
      <c r="G21" s="25" t="n">
        <v>100.561551</v>
      </c>
      <c r="H21" s="25" t="n">
        <v>4.65</v>
      </c>
      <c r="I21" s="25" t="n">
        <v>237</v>
      </c>
      <c r="J21" s="25" t="n">
        <v>2</v>
      </c>
      <c r="K21" s="29" t="n">
        <v>400</v>
      </c>
      <c r="L21" s="25" t="inlineStr">
        <is>
          <t>Western</t>
        </is>
      </c>
      <c r="M21" s="29" t="n">
        <v>16</v>
      </c>
      <c r="N21" s="29" t="inlineStr">
        <is>
          <t>N</t>
        </is>
      </c>
      <c r="O21" s="29" t="inlineStr">
        <is>
          <t>N</t>
        </is>
      </c>
      <c r="P21" s="29" t="n">
        <v>5</v>
      </c>
      <c r="Q21" s="25" t="n"/>
      <c r="R21" s="25" t="inlineStr">
        <is>
          <t>+66 95 720 3826</t>
        </is>
      </c>
      <c r="S21" s="25" t="inlineStr">
        <is>
          <t>11:00-22:00</t>
        </is>
      </c>
      <c r="T21" s="25" t="n"/>
      <c r="U21" s="25" t="n"/>
      <c r="V21" s="25" t="inlineStr">
        <is>
          <t>Cozy Western, limited tables</t>
        </is>
      </c>
      <c r="W21" s="29" t="n">
        <v>3</v>
      </c>
      <c r="X21" s="32">
        <f>IF($B21="","",COUNTA(E21,H21,I21,J21,K21,L21,M21,O21,P21,R21,S21,T21,U21,V21,W21)/15)</f>
        <v/>
      </c>
      <c r="Y21" s="32">
        <f>IF($B21="","",IF(AND(M21&gt;=Config!$B$8,OR(Config!$B$9="",ISERROR(SEARCH(Config!$B$9,L21)))),"Y","N"))</f>
        <v/>
      </c>
    </row>
    <row r="22" ht="15" customHeight="1" s="22">
      <c r="A22" s="25" t="inlineStr">
        <is>
          <t>R021</t>
        </is>
      </c>
      <c r="B22" s="25" t="inlineStr">
        <is>
          <t>BARTELS Asok</t>
        </is>
      </c>
      <c r="C22" s="25" t="n">
        <v>2</v>
      </c>
      <c r="D22" s="25" t="inlineStr">
        <is>
          <t>google+tripadvisor</t>
        </is>
      </c>
      <c r="E22" s="25" t="inlineStr">
        <is>
          <t>Asok, Bangkok</t>
        </is>
      </c>
      <c r="F22" s="25" t="n">
        <v>13.738573</v>
      </c>
      <c r="G22" s="25" t="n">
        <v>100.55906</v>
      </c>
      <c r="H22" s="25" t="n">
        <v>4.65</v>
      </c>
      <c r="I22" s="25" t="n">
        <v>3611</v>
      </c>
      <c r="J22" s="25" t="n">
        <v>2</v>
      </c>
      <c r="K22" s="29" t="n">
        <v>400</v>
      </c>
      <c r="L22" s="25" t="inlineStr">
        <is>
          <t>Brunch</t>
        </is>
      </c>
      <c r="M22" s="29" t="n">
        <v>30</v>
      </c>
      <c r="N22" s="29" t="inlineStr">
        <is>
          <t>N</t>
        </is>
      </c>
      <c r="O22" s="29" t="inlineStr">
        <is>
          <t>N</t>
        </is>
      </c>
      <c r="P22" s="29" t="n">
        <v>5</v>
      </c>
      <c r="Q22" s="25" t="n"/>
      <c r="R22" s="25" t="inlineStr">
        <is>
          <t>+66 95 019 2134</t>
        </is>
      </c>
      <c r="S22" s="25" t="inlineStr">
        <is>
          <t>07:00-18:00</t>
        </is>
      </c>
      <c r="T22" s="25" t="n"/>
      <c r="U22" s="25" t="n"/>
      <c r="V22" s="25" t="inlineStr">
        <is>
          <t>Sourdough sandwiches &amp; juicery</t>
        </is>
      </c>
      <c r="W22" s="29" t="n">
        <v>3</v>
      </c>
      <c r="X22" s="32">
        <f>IF($B22="","",COUNTA(E22,H22,I22,J22,K22,L22,M22,O22,P22,R22,S22,T22,U22,V22,W22)/15)</f>
        <v/>
      </c>
      <c r="Y22" s="32">
        <f>IF($B22="","",IF(AND(M22&gt;=Config!$B$8,OR(Config!$B$9="",ISERROR(SEARCH(Config!$B$9,L22)))),"Y","N"))</f>
        <v/>
      </c>
    </row>
    <row r="23" ht="15" customHeight="1" s="22">
      <c r="A23" s="25" t="inlineStr">
        <is>
          <t>R022</t>
        </is>
      </c>
      <c r="B23" s="25" t="inlineStr">
        <is>
          <t>Nara Thai Cuisine Terminal 21 Asoke</t>
        </is>
      </c>
      <c r="C23" s="25" t="n">
        <v>2</v>
      </c>
      <c r="D23" s="25" t="inlineStr">
        <is>
          <t>google+tripadvisor</t>
        </is>
      </c>
      <c r="E23" s="25" t="inlineStr">
        <is>
          <t>Asok, Bangkok</t>
        </is>
      </c>
      <c r="F23" s="25" t="n">
        <v>13.737922</v>
      </c>
      <c r="G23" s="25" t="n">
        <v>100.560466</v>
      </c>
      <c r="H23" s="25" t="n">
        <v>4.6</v>
      </c>
      <c r="I23" s="25" t="n">
        <v>1686</v>
      </c>
      <c r="J23" s="25" t="n">
        <v>2</v>
      </c>
      <c r="K23" s="29" t="n">
        <v>400</v>
      </c>
      <c r="L23" s="25" t="inlineStr">
        <is>
          <t>Thai</t>
        </is>
      </c>
      <c r="M23" s="29" t="n">
        <v>50</v>
      </c>
      <c r="N23" s="29" t="inlineStr">
        <is>
          <t>Y</t>
        </is>
      </c>
      <c r="O23" s="29" t="inlineStr">
        <is>
          <t>Y</t>
        </is>
      </c>
      <c r="P23" s="29" t="n">
        <v>5</v>
      </c>
      <c r="Q23" s="25" t="n"/>
      <c r="R23" s="25" t="inlineStr">
        <is>
          <t>+66 2 004 2565</t>
        </is>
      </c>
      <c r="S23" s="25" t="inlineStr">
        <is>
          <t>10:00-22:00</t>
        </is>
      </c>
      <c r="T23" s="25" t="n"/>
      <c r="U23" s="25" t="n"/>
      <c r="V23" s="25" t="inlineStr">
        <is>
          <t>Award-winning classic Thai</t>
        </is>
      </c>
      <c r="W23" s="29" t="n">
        <v>4</v>
      </c>
      <c r="X23" s="32">
        <f>IF($B23="","",COUNTA(E23,H23,I23,J23,K23,L23,M23,O23,P23,R23,S23,T23,U23,V23,W23)/15)</f>
        <v/>
      </c>
      <c r="Y23" s="32">
        <f>IF($B23="","",IF(AND(M23&gt;=Config!$B$8,OR(Config!$B$9="",ISERROR(SEARCH(Config!$B$9,L23)))),"Y","N"))</f>
        <v/>
      </c>
    </row>
    <row r="24" ht="15" customHeight="1" s="22">
      <c r="A24" s="25" t="inlineStr">
        <is>
          <t>R023</t>
        </is>
      </c>
      <c r="B24" s="25" t="inlineStr">
        <is>
          <t>CEDAR Thai Restaurant</t>
        </is>
      </c>
      <c r="C24" s="25" t="n">
        <v>2</v>
      </c>
      <c r="D24" s="25" t="inlineStr">
        <is>
          <t>google+tripadvisor</t>
        </is>
      </c>
      <c r="E24" s="25" t="inlineStr">
        <is>
          <t>Asok, Bangkok</t>
        </is>
      </c>
      <c r="F24" s="25" t="n">
        <v>13.737922</v>
      </c>
      <c r="G24" s="25" t="n">
        <v>100.560466</v>
      </c>
      <c r="H24" s="25" t="n">
        <v>4.65</v>
      </c>
      <c r="I24" s="25" t="n">
        <v>47</v>
      </c>
      <c r="J24" s="25" t="n">
        <v>2</v>
      </c>
      <c r="K24" s="29" t="n">
        <v>400</v>
      </c>
      <c r="L24" s="25" t="inlineStr">
        <is>
          <t>Thai</t>
        </is>
      </c>
      <c r="M24" s="29" t="n">
        <v>35</v>
      </c>
      <c r="N24" s="29" t="inlineStr">
        <is>
          <t>Y</t>
        </is>
      </c>
      <c r="O24" s="29" t="inlineStr">
        <is>
          <t>Y</t>
        </is>
      </c>
      <c r="P24" s="29" t="n">
        <v>5</v>
      </c>
      <c r="Q24" s="25" t="n"/>
      <c r="R24" s="25" t="inlineStr">
        <is>
          <t>+66 93 889 4111</t>
        </is>
      </c>
      <c r="S24" s="25" t="inlineStr">
        <is>
          <t>10:30-22:00</t>
        </is>
      </c>
      <c r="T24" s="25" t="n"/>
      <c r="U24" s="25" t="n"/>
      <c r="V24" s="25" t="inlineStr">
        <is>
          <t>Terminal 21 Thai, spicy salads</t>
        </is>
      </c>
      <c r="W24" s="29" t="n">
        <v>3</v>
      </c>
      <c r="X24" s="32">
        <f>IF($B24="","",COUNTA(E24,H24,I24,J24,K24,L24,M24,O24,P24,R24,S24,T24,U24,V24,W24)/15)</f>
        <v/>
      </c>
      <c r="Y24" s="32">
        <f>IF($B24="","",IF(AND(M24&gt;=Config!$B$8,OR(Config!$B$9="",ISERROR(SEARCH(Config!$B$9,L24)))),"Y","N"))</f>
        <v/>
      </c>
    </row>
    <row r="25" ht="15" customHeight="1" s="22">
      <c r="A25" s="25" t="inlineStr">
        <is>
          <t>R024</t>
        </is>
      </c>
      <c r="B25" s="25" t="inlineStr">
        <is>
          <t>PEPE Bangkok</t>
        </is>
      </c>
      <c r="C25" s="25" t="n">
        <v>2</v>
      </c>
      <c r="D25" s="25" t="inlineStr">
        <is>
          <t>google+tripadvisor</t>
        </is>
      </c>
      <c r="E25" s="25" t="inlineStr">
        <is>
          <t>Phrom Phong, Bangkok</t>
        </is>
      </c>
      <c r="F25" s="25" t="n">
        <v>13.726484</v>
      </c>
      <c r="G25" s="25" t="n">
        <v>100.56154</v>
      </c>
      <c r="H25" s="25" t="n">
        <v>4.65</v>
      </c>
      <c r="I25" s="25" t="n">
        <v>1331</v>
      </c>
      <c r="J25" s="25" t="n">
        <v>3</v>
      </c>
      <c r="K25" s="29" t="n">
        <v>750</v>
      </c>
      <c r="L25" s="25" t="inlineStr">
        <is>
          <t>Asian Fusion</t>
        </is>
      </c>
      <c r="M25" s="29" t="n">
        <v>30</v>
      </c>
      <c r="N25" s="29" t="inlineStr">
        <is>
          <t>Y</t>
        </is>
      </c>
      <c r="O25" s="29" t="inlineStr">
        <is>
          <t>Y</t>
        </is>
      </c>
      <c r="P25" s="29" t="n">
        <v>5</v>
      </c>
      <c r="Q25" s="25" t="n"/>
      <c r="R25" s="25" t="inlineStr">
        <is>
          <t>+66 84 264 9291</t>
        </is>
      </c>
      <c r="S25" s="25" t="inlineStr">
        <is>
          <t>17:00-24:00</t>
        </is>
      </c>
      <c r="T25" s="25" t="n"/>
      <c r="U25" s="25" t="n"/>
      <c r="V25" s="25" t="inlineStr">
        <is>
          <t>Dry-aged duck, fusion dinner</t>
        </is>
      </c>
      <c r="W25" s="29" t="n">
        <v>4</v>
      </c>
      <c r="X25" s="32">
        <f>IF($B25="","",COUNTA(E25,H25,I25,J25,K25,L25,M25,O25,P25,R25,S25,T25,U25,V25,W25)/15)</f>
        <v/>
      </c>
      <c r="Y25" s="32">
        <f>IF($B25="","",IF(AND(M25&gt;=Config!$B$8,OR(Config!$B$9="",ISERROR(SEARCH(Config!$B$9,L25)))),"Y","N"))</f>
        <v/>
      </c>
    </row>
    <row r="26" ht="15" customHeight="1" s="22">
      <c r="A26" s="25" t="inlineStr">
        <is>
          <t>R025</t>
        </is>
      </c>
      <c r="B26" s="25" t="inlineStr">
        <is>
          <t>Florae Restaurant</t>
        </is>
      </c>
      <c r="C26" s="25" t="n">
        <v>2</v>
      </c>
      <c r="D26" s="25" t="inlineStr">
        <is>
          <t>google+tripadvisor</t>
        </is>
      </c>
      <c r="E26" s="25" t="inlineStr">
        <is>
          <t>Phrom Phong, Bangkok</t>
        </is>
      </c>
      <c r="F26" s="25" t="n">
        <v>13.721263</v>
      </c>
      <c r="G26" s="25" t="n">
        <v>100.565418</v>
      </c>
      <c r="H26" s="25" t="n">
        <v>4.65</v>
      </c>
      <c r="I26" s="25" t="n">
        <v>963</v>
      </c>
      <c r="J26" s="25" t="n">
        <v>3</v>
      </c>
      <c r="K26" s="29" t="n">
        <v>750</v>
      </c>
      <c r="L26" s="25" t="inlineStr">
        <is>
          <t>International</t>
        </is>
      </c>
      <c r="M26" s="29" t="n">
        <v>40</v>
      </c>
      <c r="N26" s="29" t="inlineStr">
        <is>
          <t>Y</t>
        </is>
      </c>
      <c r="O26" s="29" t="inlineStr">
        <is>
          <t>Y</t>
        </is>
      </c>
      <c r="P26" s="29" t="n">
        <v>6</v>
      </c>
      <c r="Q26" s="25" t="n"/>
      <c r="R26" s="25" t="inlineStr">
        <is>
          <t>+66 2 483 3999</t>
        </is>
      </c>
      <c r="S26" s="25" t="inlineStr">
        <is>
          <t>06:00-24:00</t>
        </is>
      </c>
      <c r="T26" s="25" t="n"/>
      <c r="U26" s="25" t="n"/>
      <c r="V26" s="25" t="inlineStr">
        <is>
          <t>Elegant dining, live violin nights</t>
        </is>
      </c>
      <c r="W26" s="29" t="n">
        <v>4</v>
      </c>
      <c r="X26" s="32">
        <f>IF($B26="","",COUNTA(E26,H26,I26,J26,K26,L26,M26,O26,P26,R26,S26,T26,U26,V26,W26)/15)</f>
        <v/>
      </c>
      <c r="Y26" s="32">
        <f>IF($B26="","",IF(AND(M26&gt;=Config!$B$8,OR(Config!$B$9="",ISERROR(SEARCH(Config!$B$9,L26)))),"Y","N"))</f>
        <v/>
      </c>
    </row>
    <row r="27" ht="15" customHeight="1" s="22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32">
        <f>IF($B27="","",COUNTA(E27,H27,I27,J27,K27,L27,M27,O27,P27,R27,S27,T27,U27,V27,W27)/15)</f>
        <v/>
      </c>
      <c r="Y27" s="32">
        <f>IF($B27="","",IF(AND(M27&gt;=Config!$B$8,OR(Config!$B$9="",ISERROR(SEARCH(Config!$B$9,L27)))),"Y","N"))</f>
        <v/>
      </c>
    </row>
    <row r="28" ht="15" customHeight="1" s="22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32">
        <f>IF($B28="","",COUNTA(E28,H28,I28,J28,K28,L28,M28,O28,P28,R28,S28,T28,U28,V28,W28)/15)</f>
        <v/>
      </c>
      <c r="Y28" s="32">
        <f>IF($B28="","",IF(AND(M28&gt;=Config!$B$8,OR(Config!$B$9="",ISERROR(SEARCH(Config!$B$9,L28)))),"Y","N"))</f>
        <v/>
      </c>
    </row>
    <row r="29" ht="15" customHeight="1" s="22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32">
        <f>IF($B29="","",COUNTA(E29,H29,I29,J29,K29,L29,M29,O29,P29,R29,S29,T29,U29,V29,W29)/15)</f>
        <v/>
      </c>
      <c r="Y29" s="32">
        <f>IF($B29="","",IF(AND(M29&gt;=Config!$B$8,OR(Config!$B$9="",ISERROR(SEARCH(Config!$B$9,L29)))),"Y","N"))</f>
        <v/>
      </c>
    </row>
    <row r="30" ht="15" customHeight="1" s="22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32">
        <f>IF($B30="","",COUNTA(E30,H30,I30,J30,K30,L30,M30,O30,P30,R30,S30,T30,U30,V30,W30)/15)</f>
        <v/>
      </c>
      <c r="Y30" s="32">
        <f>IF($B30="","",IF(AND(M30&gt;=Config!$B$8,OR(Config!$B$9="",ISERROR(SEARCH(Config!$B$9,L30)))),"Y","N"))</f>
        <v/>
      </c>
    </row>
    <row r="31" ht="15" customHeight="1" s="22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32">
        <f>IF($B31="","",COUNTA(E31,H31,I31,J31,K31,L31,M31,O31,P31,R31,S31,T31,U31,V31,W31)/15)</f>
        <v/>
      </c>
      <c r="Y31" s="32">
        <f>IF($B31="","",IF(AND(M31&gt;=Config!$B$8,OR(Config!$B$9="",ISERROR(SEARCH(Config!$B$9,L31)))),"Y","N"))</f>
        <v/>
      </c>
    </row>
    <row r="32" ht="15" customHeight="1" s="2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32">
        <f>IF($B32="","",COUNTA(E32,H32,I32,J32,K32,L32,M32,O32,P32,R32,S32,T32,U32,V32,W32)/15)</f>
        <v/>
      </c>
      <c r="Y32" s="32">
        <f>IF($B32="","",IF(AND(M32&gt;=Config!$B$8,OR(Config!$B$9="",ISERROR(SEARCH(Config!$B$9,L32)))),"Y","N"))</f>
        <v/>
      </c>
    </row>
    <row r="33" ht="15" customHeight="1" s="22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32">
        <f>IF($B33="","",COUNTA(E33,H33,I33,J33,K33,L33,M33,O33,P33,R33,S33,T33,U33,V33,W33)/15)</f>
        <v/>
      </c>
      <c r="Y33" s="32">
        <f>IF($B33="","",IF(AND(M33&gt;=Config!$B$8,OR(Config!$B$9="",ISERROR(SEARCH(Config!$B$9,L33)))),"Y","N"))</f>
        <v/>
      </c>
    </row>
    <row r="34" ht="15" customHeight="1" s="22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32">
        <f>IF($B34="","",COUNTA(E34,H34,I34,J34,K34,L34,M34,O34,P34,R34,S34,T34,U34,V34,W34)/15)</f>
        <v/>
      </c>
      <c r="Y34" s="32">
        <f>IF($B34="","",IF(AND(M34&gt;=Config!$B$8,OR(Config!$B$9="",ISERROR(SEARCH(Config!$B$9,L34)))),"Y","N"))</f>
        <v/>
      </c>
    </row>
    <row r="35" ht="15" customHeight="1" s="22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32">
        <f>IF($B35="","",COUNTA(E35,H35,I35,J35,K35,L35,M35,O35,P35,R35,S35,T35,U35,V35,W35)/15)</f>
        <v/>
      </c>
      <c r="Y35" s="32">
        <f>IF($B35="","",IF(AND(M35&gt;=Config!$B$8,OR(Config!$B$9="",ISERROR(SEARCH(Config!$B$9,L35)))),"Y","N"))</f>
        <v/>
      </c>
    </row>
    <row r="36" ht="15" customHeight="1" s="22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32">
        <f>IF($B36="","",COUNTA(E36,H36,I36,J36,K36,L36,M36,O36,P36,R36,S36,T36,U36,V36,W36)/15)</f>
        <v/>
      </c>
      <c r="Y36" s="32">
        <f>IF($B36="","",IF(AND(M36&gt;=Config!$B$8,OR(Config!$B$9="",ISERROR(SEARCH(Config!$B$9,L36)))),"Y","N"))</f>
        <v/>
      </c>
    </row>
    <row r="37" ht="15" customHeight="1" s="22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32">
        <f>IF($B37="","",COUNTA(E37,H37,I37,J37,K37,L37,M37,O37,P37,R37,S37,T37,U37,V37,W37)/15)</f>
        <v/>
      </c>
      <c r="Y37" s="32">
        <f>IF($B37="","",IF(AND(M37&gt;=Config!$B$8,OR(Config!$B$9="",ISERROR(SEARCH(Config!$B$9,L37)))),"Y","N"))</f>
        <v/>
      </c>
    </row>
    <row r="38" ht="15" customHeight="1" s="22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32">
        <f>IF($B38="","",COUNTA(E38,H38,I38,J38,K38,L38,M38,O38,P38,R38,S38,T38,U38,V38,W38)/15)</f>
        <v/>
      </c>
      <c r="Y38" s="32">
        <f>IF($B38="","",IF(AND(M38&gt;=Config!$B$8,OR(Config!$B$9="",ISERROR(SEARCH(Config!$B$9,L38)))),"Y","N"))</f>
        <v/>
      </c>
    </row>
    <row r="39" ht="15" customHeight="1" s="22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32">
        <f>IF($B39="","",COUNTA(E39,H39,I39,J39,K39,L39,M39,O39,P39,R39,S39,T39,U39,V39,W39)/15)</f>
        <v/>
      </c>
      <c r="Y39" s="32">
        <f>IF($B39="","",IF(AND(M39&gt;=Config!$B$8,OR(Config!$B$9="",ISERROR(SEARCH(Config!$B$9,L39)))),"Y","N"))</f>
        <v/>
      </c>
    </row>
    <row r="40" ht="15" customHeight="1" s="22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32">
        <f>IF($B40="","",COUNTA(E40,H40,I40,J40,K40,L40,M40,O40,P40,R40,S40,T40,U40,V40,W40)/15)</f>
        <v/>
      </c>
      <c r="Y40" s="32">
        <f>IF($B40="","",IF(AND(M40&gt;=Config!$B$8,OR(Config!$B$9="",ISERROR(SEARCH(Config!$B$9,L40)))),"Y","N"))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21" min="1" max="1"/>
    <col width="20" customWidth="1" style="21" min="2" max="2"/>
    <col width="12" customWidth="1" style="21" min="3" max="4"/>
    <col width="11" customWidth="1" style="21" min="5" max="5"/>
    <col width="12" customWidth="1" style="21" min="6" max="6"/>
    <col width="16" customWidth="1" style="21" min="7" max="8"/>
    <col width="12" customWidth="1" style="21" min="9" max="9"/>
    <col width="26" customWidth="1" style="21" min="10" max="10"/>
    <col width="12" customWidth="1" style="21" min="11" max="11"/>
  </cols>
  <sheetData>
    <row r="1" ht="23.25" customHeight="1" s="22">
      <c r="A1" s="23" t="inlineStr">
        <is>
          <t>restaurant_id</t>
        </is>
      </c>
      <c r="B1" s="23" t="inlineStr">
        <is>
          <t>name</t>
        </is>
      </c>
      <c r="C1" s="23" t="inlineStr">
        <is>
          <t>score_rating</t>
        </is>
      </c>
      <c r="D1" s="23" t="inlineStr">
        <is>
          <t>score_group</t>
        </is>
      </c>
      <c r="E1" s="23" t="inlineStr">
        <is>
          <t>score_price</t>
        </is>
      </c>
      <c r="F1" s="23" t="inlineStr">
        <is>
          <t>score_travel</t>
        </is>
      </c>
      <c r="G1" s="23" t="inlineStr">
        <is>
          <t>score_completeness</t>
        </is>
      </c>
      <c r="H1" s="23" t="inlineStr">
        <is>
          <t>score_uniqueness</t>
        </is>
      </c>
      <c r="I1" s="23" t="inlineStr">
        <is>
          <t>total_score</t>
        </is>
      </c>
      <c r="J1" s="23" t="inlineStr">
        <is>
          <t>scoring_notes</t>
        </is>
      </c>
      <c r="K1" s="23" t="inlineStr">
        <is>
          <t>rank_key</t>
        </is>
      </c>
    </row>
    <row r="2" ht="15" customHeight="1" s="22">
      <c r="A2" s="33">
        <f>IF(Cleaned_Data!A2="","",Cleaned_Data!A2)</f>
        <v/>
      </c>
      <c r="B2" s="33">
        <f>IF(Cleaned_Data!B2="","",Cleaned_Data!B2)</f>
        <v/>
      </c>
      <c r="C2" s="34">
        <f>IFERROR(IF(Cleaned_Data!A2="","",Config!$B$18*(Cleaned_Data!H2/5)*(Config!$B$15+(1-Config!$B$15)*MIN(1,Cleaned_Data!I2/Config!$B$14))),0)</f>
        <v/>
      </c>
      <c r="D2" s="34">
        <f>IFERROR(IF(Cleaned_Data!A2="","",Config!$B$19*(0.5*MIN(1,Cleaned_Data!M2/(Config!$B$7*1.5))+0.25*IF(Cleaned_Data!O2="Y",1,0)+0.25*IF(Cleaned_Data!N2="Y",1,0))),0)</f>
        <v/>
      </c>
      <c r="E2" s="34">
        <f>IFERROR(IF(Cleaned_Data!A2="","",Config!$B$20*MAX(0,1-ABS(Cleaned_Data!J2-Config!$B$11)/3)),0)</f>
        <v/>
      </c>
      <c r="F2" s="34">
        <f>IFERROR(IF(Cleaned_Data!A2="","",Config!$B$21*MAX(0,1-Cleaned_Data!P2/Config!$B$13)),0)</f>
        <v/>
      </c>
      <c r="G2" s="34">
        <f>IFERROR(IF(Cleaned_Data!A2="","",Config!$B$22*Cleaned_Data!X2),0)</f>
        <v/>
      </c>
      <c r="H2" s="34">
        <f>IFERROR(IF(Cleaned_Data!A2="","",Config!$B$23*(Cleaned_Data!W2/5)),0)</f>
        <v/>
      </c>
      <c r="I2" s="35">
        <f>IF(A2="","",ROUND(SUM(C2:H2),1))</f>
        <v/>
      </c>
      <c r="J2" s="32" t="n"/>
      <c r="K2" s="36">
        <f>IF(AND(Cleaned_Data!Y2="Y",ISNUMBER(I2)),I2+ROW()*0.000001,"")</f>
        <v/>
      </c>
    </row>
    <row r="3" ht="15" customHeight="1" s="22">
      <c r="A3" s="33">
        <f>IF(Cleaned_Data!A3="","",Cleaned_Data!A3)</f>
        <v/>
      </c>
      <c r="B3" s="33">
        <f>IF(Cleaned_Data!B3="","",Cleaned_Data!B3)</f>
        <v/>
      </c>
      <c r="C3" s="34">
        <f>IFERROR(IF(Cleaned_Data!A3="","",Config!$B$18*(Cleaned_Data!H3/5)*(Config!$B$15+(1-Config!$B$15)*MIN(1,Cleaned_Data!I3/Config!$B$14))),0)</f>
        <v/>
      </c>
      <c r="D3" s="34">
        <f>IFERROR(IF(Cleaned_Data!A3="","",Config!$B$19*(0.5*MIN(1,Cleaned_Data!M3/(Config!$B$7*1.5))+0.25*IF(Cleaned_Data!O3="Y",1,0)+0.25*IF(Cleaned_Data!N3="Y",1,0))),0)</f>
        <v/>
      </c>
      <c r="E3" s="34">
        <f>IFERROR(IF(Cleaned_Data!A3="","",Config!$B$20*MAX(0,1-ABS(Cleaned_Data!J3-Config!$B$11)/3)),0)</f>
        <v/>
      </c>
      <c r="F3" s="34">
        <f>IFERROR(IF(Cleaned_Data!A3="","",Config!$B$21*MAX(0,1-Cleaned_Data!P3/Config!$B$13)),0)</f>
        <v/>
      </c>
      <c r="G3" s="34">
        <f>IFERROR(IF(Cleaned_Data!A3="","",Config!$B$22*Cleaned_Data!X3),0)</f>
        <v/>
      </c>
      <c r="H3" s="34">
        <f>IFERROR(IF(Cleaned_Data!A3="","",Config!$B$23*(Cleaned_Data!W3/5)),0)</f>
        <v/>
      </c>
      <c r="I3" s="35">
        <f>IF(A3="","",ROUND(SUM(C3:H3),1))</f>
        <v/>
      </c>
      <c r="J3" s="32" t="n"/>
      <c r="K3" s="36">
        <f>IF(AND(Cleaned_Data!Y3="Y",ISNUMBER(I3)),I3+ROW()*0.000001,"")</f>
        <v/>
      </c>
    </row>
    <row r="4" ht="15" customHeight="1" s="22">
      <c r="A4" s="33">
        <f>IF(Cleaned_Data!A4="","",Cleaned_Data!A4)</f>
        <v/>
      </c>
      <c r="B4" s="33">
        <f>IF(Cleaned_Data!B4="","",Cleaned_Data!B4)</f>
        <v/>
      </c>
      <c r="C4" s="34">
        <f>IFERROR(IF(Cleaned_Data!A4="","",Config!$B$18*(Cleaned_Data!H4/5)*(Config!$B$15+(1-Config!$B$15)*MIN(1,Cleaned_Data!I4/Config!$B$14))),0)</f>
        <v/>
      </c>
      <c r="D4" s="34">
        <f>IFERROR(IF(Cleaned_Data!A4="","",Config!$B$19*(0.5*MIN(1,Cleaned_Data!M4/(Config!$B$7*1.5))+0.25*IF(Cleaned_Data!O4="Y",1,0)+0.25*IF(Cleaned_Data!N4="Y",1,0))),0)</f>
        <v/>
      </c>
      <c r="E4" s="34">
        <f>IFERROR(IF(Cleaned_Data!A4="","",Config!$B$20*MAX(0,1-ABS(Cleaned_Data!J4-Config!$B$11)/3)),0)</f>
        <v/>
      </c>
      <c r="F4" s="34">
        <f>IFERROR(IF(Cleaned_Data!A4="","",Config!$B$21*MAX(0,1-Cleaned_Data!P4/Config!$B$13)),0)</f>
        <v/>
      </c>
      <c r="G4" s="34">
        <f>IFERROR(IF(Cleaned_Data!A4="","",Config!$B$22*Cleaned_Data!X4),0)</f>
        <v/>
      </c>
      <c r="H4" s="34">
        <f>IFERROR(IF(Cleaned_Data!A4="","",Config!$B$23*(Cleaned_Data!W4/5)),0)</f>
        <v/>
      </c>
      <c r="I4" s="35">
        <f>IF(A4="","",ROUND(SUM(C4:H4),1))</f>
        <v/>
      </c>
      <c r="J4" s="32" t="n"/>
      <c r="K4" s="36">
        <f>IF(AND(Cleaned_Data!Y4="Y",ISNUMBER(I4)),I4+ROW()*0.000001,"")</f>
        <v/>
      </c>
    </row>
    <row r="5" ht="15" customHeight="1" s="22">
      <c r="A5" s="33">
        <f>IF(Cleaned_Data!A5="","",Cleaned_Data!A5)</f>
        <v/>
      </c>
      <c r="B5" s="33">
        <f>IF(Cleaned_Data!B5="","",Cleaned_Data!B5)</f>
        <v/>
      </c>
      <c r="C5" s="34">
        <f>IFERROR(IF(Cleaned_Data!A5="","",Config!$B$18*(Cleaned_Data!H5/5)*(Config!$B$15+(1-Config!$B$15)*MIN(1,Cleaned_Data!I5/Config!$B$14))),0)</f>
        <v/>
      </c>
      <c r="D5" s="34">
        <f>IFERROR(IF(Cleaned_Data!A5="","",Config!$B$19*(0.5*MIN(1,Cleaned_Data!M5/(Config!$B$7*1.5))+0.25*IF(Cleaned_Data!O5="Y",1,0)+0.25*IF(Cleaned_Data!N5="Y",1,0))),0)</f>
        <v/>
      </c>
      <c r="E5" s="34">
        <f>IFERROR(IF(Cleaned_Data!A5="","",Config!$B$20*MAX(0,1-ABS(Cleaned_Data!J5-Config!$B$11)/3)),0)</f>
        <v/>
      </c>
      <c r="F5" s="34">
        <f>IFERROR(IF(Cleaned_Data!A5="","",Config!$B$21*MAX(0,1-Cleaned_Data!P5/Config!$B$13)),0)</f>
        <v/>
      </c>
      <c r="G5" s="34">
        <f>IFERROR(IF(Cleaned_Data!A5="","",Config!$B$22*Cleaned_Data!X5),0)</f>
        <v/>
      </c>
      <c r="H5" s="34">
        <f>IFERROR(IF(Cleaned_Data!A5="","",Config!$B$23*(Cleaned_Data!W5/5)),0)</f>
        <v/>
      </c>
      <c r="I5" s="35">
        <f>IF(A5="","",ROUND(SUM(C5:H5),1))</f>
        <v/>
      </c>
      <c r="J5" s="32" t="n"/>
      <c r="K5" s="36">
        <f>IF(AND(Cleaned_Data!Y5="Y",ISNUMBER(I5)),I5+ROW()*0.000001,"")</f>
        <v/>
      </c>
    </row>
    <row r="6" ht="15" customHeight="1" s="22">
      <c r="A6" s="33">
        <f>IF(Cleaned_Data!A6="","",Cleaned_Data!A6)</f>
        <v/>
      </c>
      <c r="B6" s="33">
        <f>IF(Cleaned_Data!B6="","",Cleaned_Data!B6)</f>
        <v/>
      </c>
      <c r="C6" s="34">
        <f>IFERROR(IF(Cleaned_Data!A6="","",Config!$B$18*(Cleaned_Data!H6/5)*(Config!$B$15+(1-Config!$B$15)*MIN(1,Cleaned_Data!I6/Config!$B$14))),0)</f>
        <v/>
      </c>
      <c r="D6" s="34">
        <f>IFERROR(IF(Cleaned_Data!A6="","",Config!$B$19*(0.5*MIN(1,Cleaned_Data!M6/(Config!$B$7*1.5))+0.25*IF(Cleaned_Data!O6="Y",1,0)+0.25*IF(Cleaned_Data!N6="Y",1,0))),0)</f>
        <v/>
      </c>
      <c r="E6" s="34">
        <f>IFERROR(IF(Cleaned_Data!A6="","",Config!$B$20*MAX(0,1-ABS(Cleaned_Data!J6-Config!$B$11)/3)),0)</f>
        <v/>
      </c>
      <c r="F6" s="34">
        <f>IFERROR(IF(Cleaned_Data!A6="","",Config!$B$21*MAX(0,1-Cleaned_Data!P6/Config!$B$13)),0)</f>
        <v/>
      </c>
      <c r="G6" s="34">
        <f>IFERROR(IF(Cleaned_Data!A6="","",Config!$B$22*Cleaned_Data!X6),0)</f>
        <v/>
      </c>
      <c r="H6" s="34">
        <f>IFERROR(IF(Cleaned_Data!A6="","",Config!$B$23*(Cleaned_Data!W6/5)),0)</f>
        <v/>
      </c>
      <c r="I6" s="35">
        <f>IF(A6="","",ROUND(SUM(C6:H6),1))</f>
        <v/>
      </c>
      <c r="J6" s="32" t="n"/>
      <c r="K6" s="36">
        <f>IF(AND(Cleaned_Data!Y6="Y",ISNUMBER(I6)),I6+ROW()*0.000001,"")</f>
        <v/>
      </c>
    </row>
    <row r="7" ht="15" customHeight="1" s="22">
      <c r="A7" s="33">
        <f>IF(Cleaned_Data!A7="","",Cleaned_Data!A7)</f>
        <v/>
      </c>
      <c r="B7" s="33">
        <f>IF(Cleaned_Data!B7="","",Cleaned_Data!B7)</f>
        <v/>
      </c>
      <c r="C7" s="34">
        <f>IFERROR(IF(Cleaned_Data!A7="","",Config!$B$18*(Cleaned_Data!H7/5)*(Config!$B$15+(1-Config!$B$15)*MIN(1,Cleaned_Data!I7/Config!$B$14))),0)</f>
        <v/>
      </c>
      <c r="D7" s="34">
        <f>IFERROR(IF(Cleaned_Data!A7="","",Config!$B$19*(0.5*MIN(1,Cleaned_Data!M7/(Config!$B$7*1.5))+0.25*IF(Cleaned_Data!O7="Y",1,0)+0.25*IF(Cleaned_Data!N7="Y",1,0))),0)</f>
        <v/>
      </c>
      <c r="E7" s="34">
        <f>IFERROR(IF(Cleaned_Data!A7="","",Config!$B$20*MAX(0,1-ABS(Cleaned_Data!J7-Config!$B$11)/3)),0)</f>
        <v/>
      </c>
      <c r="F7" s="34">
        <f>IFERROR(IF(Cleaned_Data!A7="","",Config!$B$21*MAX(0,1-Cleaned_Data!P7/Config!$B$13)),0)</f>
        <v/>
      </c>
      <c r="G7" s="34">
        <f>IFERROR(IF(Cleaned_Data!A7="","",Config!$B$22*Cleaned_Data!X7),0)</f>
        <v/>
      </c>
      <c r="H7" s="34">
        <f>IFERROR(IF(Cleaned_Data!A7="","",Config!$B$23*(Cleaned_Data!W7/5)),0)</f>
        <v/>
      </c>
      <c r="I7" s="35">
        <f>IF(A7="","",ROUND(SUM(C7:H7),1))</f>
        <v/>
      </c>
      <c r="J7" s="32" t="n"/>
      <c r="K7" s="36">
        <f>IF(AND(Cleaned_Data!Y7="Y",ISNUMBER(I7)),I7+ROW()*0.000001,"")</f>
        <v/>
      </c>
    </row>
    <row r="8" ht="15" customHeight="1" s="22">
      <c r="A8" s="33">
        <f>IF(Cleaned_Data!A8="","",Cleaned_Data!A8)</f>
        <v/>
      </c>
      <c r="B8" s="33">
        <f>IF(Cleaned_Data!B8="","",Cleaned_Data!B8)</f>
        <v/>
      </c>
      <c r="C8" s="34">
        <f>IFERROR(IF(Cleaned_Data!A8="","",Config!$B$18*(Cleaned_Data!H8/5)*(Config!$B$15+(1-Config!$B$15)*MIN(1,Cleaned_Data!I8/Config!$B$14))),0)</f>
        <v/>
      </c>
      <c r="D8" s="34">
        <f>IFERROR(IF(Cleaned_Data!A8="","",Config!$B$19*(0.5*MIN(1,Cleaned_Data!M8/(Config!$B$7*1.5))+0.25*IF(Cleaned_Data!O8="Y",1,0)+0.25*IF(Cleaned_Data!N8="Y",1,0))),0)</f>
        <v/>
      </c>
      <c r="E8" s="34">
        <f>IFERROR(IF(Cleaned_Data!A8="","",Config!$B$20*MAX(0,1-ABS(Cleaned_Data!J8-Config!$B$11)/3)),0)</f>
        <v/>
      </c>
      <c r="F8" s="34">
        <f>IFERROR(IF(Cleaned_Data!A8="","",Config!$B$21*MAX(0,1-Cleaned_Data!P8/Config!$B$13)),0)</f>
        <v/>
      </c>
      <c r="G8" s="34">
        <f>IFERROR(IF(Cleaned_Data!A8="","",Config!$B$22*Cleaned_Data!X8),0)</f>
        <v/>
      </c>
      <c r="H8" s="34">
        <f>IFERROR(IF(Cleaned_Data!A8="","",Config!$B$23*(Cleaned_Data!W8/5)),0)</f>
        <v/>
      </c>
      <c r="I8" s="35">
        <f>IF(A8="","",ROUND(SUM(C8:H8),1))</f>
        <v/>
      </c>
      <c r="J8" s="32" t="n"/>
      <c r="K8" s="36">
        <f>IF(AND(Cleaned_Data!Y8="Y",ISNUMBER(I8)),I8+ROW()*0.000001,"")</f>
        <v/>
      </c>
    </row>
    <row r="9" ht="15" customHeight="1" s="22">
      <c r="A9" s="33">
        <f>IF(Cleaned_Data!A9="","",Cleaned_Data!A9)</f>
        <v/>
      </c>
      <c r="B9" s="33">
        <f>IF(Cleaned_Data!B9="","",Cleaned_Data!B9)</f>
        <v/>
      </c>
      <c r="C9" s="34">
        <f>IFERROR(IF(Cleaned_Data!A9="","",Config!$B$18*(Cleaned_Data!H9/5)*(Config!$B$15+(1-Config!$B$15)*MIN(1,Cleaned_Data!I9/Config!$B$14))),0)</f>
        <v/>
      </c>
      <c r="D9" s="34">
        <f>IFERROR(IF(Cleaned_Data!A9="","",Config!$B$19*(0.5*MIN(1,Cleaned_Data!M9/(Config!$B$7*1.5))+0.25*IF(Cleaned_Data!O9="Y",1,0)+0.25*IF(Cleaned_Data!N9="Y",1,0))),0)</f>
        <v/>
      </c>
      <c r="E9" s="34">
        <f>IFERROR(IF(Cleaned_Data!A9="","",Config!$B$20*MAX(0,1-ABS(Cleaned_Data!J9-Config!$B$11)/3)),0)</f>
        <v/>
      </c>
      <c r="F9" s="34">
        <f>IFERROR(IF(Cleaned_Data!A9="","",Config!$B$21*MAX(0,1-Cleaned_Data!P9/Config!$B$13)),0)</f>
        <v/>
      </c>
      <c r="G9" s="34">
        <f>IFERROR(IF(Cleaned_Data!A9="","",Config!$B$22*Cleaned_Data!X9),0)</f>
        <v/>
      </c>
      <c r="H9" s="34">
        <f>IFERROR(IF(Cleaned_Data!A9="","",Config!$B$23*(Cleaned_Data!W9/5)),0)</f>
        <v/>
      </c>
      <c r="I9" s="35">
        <f>IF(A9="","",ROUND(SUM(C9:H9),1))</f>
        <v/>
      </c>
      <c r="J9" s="32" t="n"/>
      <c r="K9" s="36">
        <f>IF(AND(Cleaned_Data!Y9="Y",ISNUMBER(I9)),I9+ROW()*0.000001,"")</f>
        <v/>
      </c>
    </row>
    <row r="10" ht="15" customHeight="1" s="22">
      <c r="A10" s="33">
        <f>IF(Cleaned_Data!A10="","",Cleaned_Data!A10)</f>
        <v/>
      </c>
      <c r="B10" s="33">
        <f>IF(Cleaned_Data!B10="","",Cleaned_Data!B10)</f>
        <v/>
      </c>
      <c r="C10" s="34">
        <f>IFERROR(IF(Cleaned_Data!A10="","",Config!$B$18*(Cleaned_Data!H10/5)*(Config!$B$15+(1-Config!$B$15)*MIN(1,Cleaned_Data!I10/Config!$B$14))),0)</f>
        <v/>
      </c>
      <c r="D10" s="34">
        <f>IFERROR(IF(Cleaned_Data!A10="","",Config!$B$19*(0.5*MIN(1,Cleaned_Data!M10/(Config!$B$7*1.5))+0.25*IF(Cleaned_Data!O10="Y",1,0)+0.25*IF(Cleaned_Data!N10="Y",1,0))),0)</f>
        <v/>
      </c>
      <c r="E10" s="34">
        <f>IFERROR(IF(Cleaned_Data!A10="","",Config!$B$20*MAX(0,1-ABS(Cleaned_Data!J10-Config!$B$11)/3)),0)</f>
        <v/>
      </c>
      <c r="F10" s="34">
        <f>IFERROR(IF(Cleaned_Data!A10="","",Config!$B$21*MAX(0,1-Cleaned_Data!P10/Config!$B$13)),0)</f>
        <v/>
      </c>
      <c r="G10" s="34">
        <f>IFERROR(IF(Cleaned_Data!A10="","",Config!$B$22*Cleaned_Data!X10),0)</f>
        <v/>
      </c>
      <c r="H10" s="34">
        <f>IFERROR(IF(Cleaned_Data!A10="","",Config!$B$23*(Cleaned_Data!W10/5)),0)</f>
        <v/>
      </c>
      <c r="I10" s="35">
        <f>IF(A10="","",ROUND(SUM(C10:H10),1))</f>
        <v/>
      </c>
      <c r="J10" s="32" t="n"/>
      <c r="K10" s="36">
        <f>IF(AND(Cleaned_Data!Y10="Y",ISNUMBER(I10)),I10+ROW()*0.000001,"")</f>
        <v/>
      </c>
    </row>
    <row r="11" ht="15" customHeight="1" s="22">
      <c r="A11" s="33">
        <f>IF(Cleaned_Data!A11="","",Cleaned_Data!A11)</f>
        <v/>
      </c>
      <c r="B11" s="33">
        <f>IF(Cleaned_Data!B11="","",Cleaned_Data!B11)</f>
        <v/>
      </c>
      <c r="C11" s="34">
        <f>IFERROR(IF(Cleaned_Data!A11="","",Config!$B$18*(Cleaned_Data!H11/5)*(Config!$B$15+(1-Config!$B$15)*MIN(1,Cleaned_Data!I11/Config!$B$14))),0)</f>
        <v/>
      </c>
      <c r="D11" s="34">
        <f>IFERROR(IF(Cleaned_Data!A11="","",Config!$B$19*(0.5*MIN(1,Cleaned_Data!M11/(Config!$B$7*1.5))+0.25*IF(Cleaned_Data!O11="Y",1,0)+0.25*IF(Cleaned_Data!N11="Y",1,0))),0)</f>
        <v/>
      </c>
      <c r="E11" s="34">
        <f>IFERROR(IF(Cleaned_Data!A11="","",Config!$B$20*MAX(0,1-ABS(Cleaned_Data!J11-Config!$B$11)/3)),0)</f>
        <v/>
      </c>
      <c r="F11" s="34">
        <f>IFERROR(IF(Cleaned_Data!A11="","",Config!$B$21*MAX(0,1-Cleaned_Data!P11/Config!$B$13)),0)</f>
        <v/>
      </c>
      <c r="G11" s="34">
        <f>IFERROR(IF(Cleaned_Data!A11="","",Config!$B$22*Cleaned_Data!X11),0)</f>
        <v/>
      </c>
      <c r="H11" s="34">
        <f>IFERROR(IF(Cleaned_Data!A11="","",Config!$B$23*(Cleaned_Data!W11/5)),0)</f>
        <v/>
      </c>
      <c r="I11" s="35">
        <f>IF(A11="","",ROUND(SUM(C11:H11),1))</f>
        <v/>
      </c>
      <c r="J11" s="32" t="n"/>
      <c r="K11" s="36">
        <f>IF(AND(Cleaned_Data!Y11="Y",ISNUMBER(I11)),I11+ROW()*0.000001,"")</f>
        <v/>
      </c>
    </row>
    <row r="12" ht="15" customHeight="1" s="22">
      <c r="A12" s="33">
        <f>IF(Cleaned_Data!A12="","",Cleaned_Data!A12)</f>
        <v/>
      </c>
      <c r="B12" s="33">
        <f>IF(Cleaned_Data!B12="","",Cleaned_Data!B12)</f>
        <v/>
      </c>
      <c r="C12" s="34">
        <f>IFERROR(IF(Cleaned_Data!A12="","",Config!$B$18*(Cleaned_Data!H12/5)*(Config!$B$15+(1-Config!$B$15)*MIN(1,Cleaned_Data!I12/Config!$B$14))),0)</f>
        <v/>
      </c>
      <c r="D12" s="34">
        <f>IFERROR(IF(Cleaned_Data!A12="","",Config!$B$19*(0.5*MIN(1,Cleaned_Data!M12/(Config!$B$7*1.5))+0.25*IF(Cleaned_Data!O12="Y",1,0)+0.25*IF(Cleaned_Data!N12="Y",1,0))),0)</f>
        <v/>
      </c>
      <c r="E12" s="34">
        <f>IFERROR(IF(Cleaned_Data!A12="","",Config!$B$20*MAX(0,1-ABS(Cleaned_Data!J12-Config!$B$11)/3)),0)</f>
        <v/>
      </c>
      <c r="F12" s="34">
        <f>IFERROR(IF(Cleaned_Data!A12="","",Config!$B$21*MAX(0,1-Cleaned_Data!P12/Config!$B$13)),0)</f>
        <v/>
      </c>
      <c r="G12" s="34">
        <f>IFERROR(IF(Cleaned_Data!A12="","",Config!$B$22*Cleaned_Data!X12),0)</f>
        <v/>
      </c>
      <c r="H12" s="34">
        <f>IFERROR(IF(Cleaned_Data!A12="","",Config!$B$23*(Cleaned_Data!W12/5)),0)</f>
        <v/>
      </c>
      <c r="I12" s="35">
        <f>IF(A12="","",ROUND(SUM(C12:H12),1))</f>
        <v/>
      </c>
      <c r="J12" s="32" t="n"/>
      <c r="K12" s="36">
        <f>IF(AND(Cleaned_Data!Y12="Y",ISNUMBER(I12)),I12+ROW()*0.000001,"")</f>
        <v/>
      </c>
    </row>
    <row r="13" ht="15" customHeight="1" s="22">
      <c r="A13" s="33">
        <f>IF(Cleaned_Data!A13="","",Cleaned_Data!A13)</f>
        <v/>
      </c>
      <c r="B13" s="33">
        <f>IF(Cleaned_Data!B13="","",Cleaned_Data!B13)</f>
        <v/>
      </c>
      <c r="C13" s="34">
        <f>IFERROR(IF(Cleaned_Data!A13="","",Config!$B$18*(Cleaned_Data!H13/5)*(Config!$B$15+(1-Config!$B$15)*MIN(1,Cleaned_Data!I13/Config!$B$14))),0)</f>
        <v/>
      </c>
      <c r="D13" s="34">
        <f>IFERROR(IF(Cleaned_Data!A13="","",Config!$B$19*(0.5*MIN(1,Cleaned_Data!M13/(Config!$B$7*1.5))+0.25*IF(Cleaned_Data!O13="Y",1,0)+0.25*IF(Cleaned_Data!N13="Y",1,0))),0)</f>
        <v/>
      </c>
      <c r="E13" s="34">
        <f>IFERROR(IF(Cleaned_Data!A13="","",Config!$B$20*MAX(0,1-ABS(Cleaned_Data!J13-Config!$B$11)/3)),0)</f>
        <v/>
      </c>
      <c r="F13" s="34">
        <f>IFERROR(IF(Cleaned_Data!A13="","",Config!$B$21*MAX(0,1-Cleaned_Data!P13/Config!$B$13)),0)</f>
        <v/>
      </c>
      <c r="G13" s="34">
        <f>IFERROR(IF(Cleaned_Data!A13="","",Config!$B$22*Cleaned_Data!X13),0)</f>
        <v/>
      </c>
      <c r="H13" s="34">
        <f>IFERROR(IF(Cleaned_Data!A13="","",Config!$B$23*(Cleaned_Data!W13/5)),0)</f>
        <v/>
      </c>
      <c r="I13" s="35">
        <f>IF(A13="","",ROUND(SUM(C13:H13),1))</f>
        <v/>
      </c>
      <c r="J13" s="32" t="n"/>
      <c r="K13" s="36">
        <f>IF(AND(Cleaned_Data!Y13="Y",ISNUMBER(I13)),I13+ROW()*0.000001,"")</f>
        <v/>
      </c>
    </row>
    <row r="14" ht="15" customHeight="1" s="22">
      <c r="A14" s="33">
        <f>IF(Cleaned_Data!A14="","",Cleaned_Data!A14)</f>
        <v/>
      </c>
      <c r="B14" s="33">
        <f>IF(Cleaned_Data!B14="","",Cleaned_Data!B14)</f>
        <v/>
      </c>
      <c r="C14" s="34">
        <f>IFERROR(IF(Cleaned_Data!A14="","",Config!$B$18*(Cleaned_Data!H14/5)*(Config!$B$15+(1-Config!$B$15)*MIN(1,Cleaned_Data!I14/Config!$B$14))),0)</f>
        <v/>
      </c>
      <c r="D14" s="34">
        <f>IFERROR(IF(Cleaned_Data!A14="","",Config!$B$19*(0.5*MIN(1,Cleaned_Data!M14/(Config!$B$7*1.5))+0.25*IF(Cleaned_Data!O14="Y",1,0)+0.25*IF(Cleaned_Data!N14="Y",1,0))),0)</f>
        <v/>
      </c>
      <c r="E14" s="34">
        <f>IFERROR(IF(Cleaned_Data!A14="","",Config!$B$20*MAX(0,1-ABS(Cleaned_Data!J14-Config!$B$11)/3)),0)</f>
        <v/>
      </c>
      <c r="F14" s="34">
        <f>IFERROR(IF(Cleaned_Data!A14="","",Config!$B$21*MAX(0,1-Cleaned_Data!P14/Config!$B$13)),0)</f>
        <v/>
      </c>
      <c r="G14" s="34">
        <f>IFERROR(IF(Cleaned_Data!A14="","",Config!$B$22*Cleaned_Data!X14),0)</f>
        <v/>
      </c>
      <c r="H14" s="34">
        <f>IFERROR(IF(Cleaned_Data!A14="","",Config!$B$23*(Cleaned_Data!W14/5)),0)</f>
        <v/>
      </c>
      <c r="I14" s="35">
        <f>IF(A14="","",ROUND(SUM(C14:H14),1))</f>
        <v/>
      </c>
      <c r="J14" s="32" t="n"/>
      <c r="K14" s="36">
        <f>IF(AND(Cleaned_Data!Y14="Y",ISNUMBER(I14)),I14+ROW()*0.000001,"")</f>
        <v/>
      </c>
    </row>
    <row r="15" ht="15" customHeight="1" s="22">
      <c r="A15" s="33">
        <f>IF(Cleaned_Data!A15="","",Cleaned_Data!A15)</f>
        <v/>
      </c>
      <c r="B15" s="33">
        <f>IF(Cleaned_Data!B15="","",Cleaned_Data!B15)</f>
        <v/>
      </c>
      <c r="C15" s="34">
        <f>IFERROR(IF(Cleaned_Data!A15="","",Config!$B$18*(Cleaned_Data!H15/5)*(Config!$B$15+(1-Config!$B$15)*MIN(1,Cleaned_Data!I15/Config!$B$14))),0)</f>
        <v/>
      </c>
      <c r="D15" s="34">
        <f>IFERROR(IF(Cleaned_Data!A15="","",Config!$B$19*(0.5*MIN(1,Cleaned_Data!M15/(Config!$B$7*1.5))+0.25*IF(Cleaned_Data!O15="Y",1,0)+0.25*IF(Cleaned_Data!N15="Y",1,0))),0)</f>
        <v/>
      </c>
      <c r="E15" s="34">
        <f>IFERROR(IF(Cleaned_Data!A15="","",Config!$B$20*MAX(0,1-ABS(Cleaned_Data!J15-Config!$B$11)/3)),0)</f>
        <v/>
      </c>
      <c r="F15" s="34">
        <f>IFERROR(IF(Cleaned_Data!A15="","",Config!$B$21*MAX(0,1-Cleaned_Data!P15/Config!$B$13)),0)</f>
        <v/>
      </c>
      <c r="G15" s="34">
        <f>IFERROR(IF(Cleaned_Data!A15="","",Config!$B$22*Cleaned_Data!X15),0)</f>
        <v/>
      </c>
      <c r="H15" s="34">
        <f>IFERROR(IF(Cleaned_Data!A15="","",Config!$B$23*(Cleaned_Data!W15/5)),0)</f>
        <v/>
      </c>
      <c r="I15" s="35">
        <f>IF(A15="","",ROUND(SUM(C15:H15),1))</f>
        <v/>
      </c>
      <c r="J15" s="32" t="n"/>
      <c r="K15" s="36">
        <f>IF(AND(Cleaned_Data!Y15="Y",ISNUMBER(I15)),I15+ROW()*0.000001,"")</f>
        <v/>
      </c>
    </row>
    <row r="16" ht="15" customHeight="1" s="22">
      <c r="A16" s="33">
        <f>IF(Cleaned_Data!A16="","",Cleaned_Data!A16)</f>
        <v/>
      </c>
      <c r="B16" s="33">
        <f>IF(Cleaned_Data!B16="","",Cleaned_Data!B16)</f>
        <v/>
      </c>
      <c r="C16" s="34">
        <f>IFERROR(IF(Cleaned_Data!A16="","",Config!$B$18*(Cleaned_Data!H16/5)*(Config!$B$15+(1-Config!$B$15)*MIN(1,Cleaned_Data!I16/Config!$B$14))),0)</f>
        <v/>
      </c>
      <c r="D16" s="34">
        <f>IFERROR(IF(Cleaned_Data!A16="","",Config!$B$19*(0.5*MIN(1,Cleaned_Data!M16/(Config!$B$7*1.5))+0.25*IF(Cleaned_Data!O16="Y",1,0)+0.25*IF(Cleaned_Data!N16="Y",1,0))),0)</f>
        <v/>
      </c>
      <c r="E16" s="34">
        <f>IFERROR(IF(Cleaned_Data!A16="","",Config!$B$20*MAX(0,1-ABS(Cleaned_Data!J16-Config!$B$11)/3)),0)</f>
        <v/>
      </c>
      <c r="F16" s="34">
        <f>IFERROR(IF(Cleaned_Data!A16="","",Config!$B$21*MAX(0,1-Cleaned_Data!P16/Config!$B$13)),0)</f>
        <v/>
      </c>
      <c r="G16" s="34">
        <f>IFERROR(IF(Cleaned_Data!A16="","",Config!$B$22*Cleaned_Data!X16),0)</f>
        <v/>
      </c>
      <c r="H16" s="34">
        <f>IFERROR(IF(Cleaned_Data!A16="","",Config!$B$23*(Cleaned_Data!W16/5)),0)</f>
        <v/>
      </c>
      <c r="I16" s="35">
        <f>IF(A16="","",ROUND(SUM(C16:H16),1))</f>
        <v/>
      </c>
      <c r="J16" s="32" t="n"/>
      <c r="K16" s="36">
        <f>IF(AND(Cleaned_Data!Y16="Y",ISNUMBER(I16)),I16+ROW()*0.000001,"")</f>
        <v/>
      </c>
    </row>
    <row r="17" ht="15" customHeight="1" s="22">
      <c r="A17" s="33">
        <f>IF(Cleaned_Data!A17="","",Cleaned_Data!A17)</f>
        <v/>
      </c>
      <c r="B17" s="33">
        <f>IF(Cleaned_Data!B17="","",Cleaned_Data!B17)</f>
        <v/>
      </c>
      <c r="C17" s="34">
        <f>IFERROR(IF(Cleaned_Data!A17="","",Config!$B$18*(Cleaned_Data!H17/5)*(Config!$B$15+(1-Config!$B$15)*MIN(1,Cleaned_Data!I17/Config!$B$14))),0)</f>
        <v/>
      </c>
      <c r="D17" s="34">
        <f>IFERROR(IF(Cleaned_Data!A17="","",Config!$B$19*(0.5*MIN(1,Cleaned_Data!M17/(Config!$B$7*1.5))+0.25*IF(Cleaned_Data!O17="Y",1,0)+0.25*IF(Cleaned_Data!N17="Y",1,0))),0)</f>
        <v/>
      </c>
      <c r="E17" s="34">
        <f>IFERROR(IF(Cleaned_Data!A17="","",Config!$B$20*MAX(0,1-ABS(Cleaned_Data!J17-Config!$B$11)/3)),0)</f>
        <v/>
      </c>
      <c r="F17" s="34">
        <f>IFERROR(IF(Cleaned_Data!A17="","",Config!$B$21*MAX(0,1-Cleaned_Data!P17/Config!$B$13)),0)</f>
        <v/>
      </c>
      <c r="G17" s="34">
        <f>IFERROR(IF(Cleaned_Data!A17="","",Config!$B$22*Cleaned_Data!X17),0)</f>
        <v/>
      </c>
      <c r="H17" s="34">
        <f>IFERROR(IF(Cleaned_Data!A17="","",Config!$B$23*(Cleaned_Data!W17/5)),0)</f>
        <v/>
      </c>
      <c r="I17" s="35">
        <f>IF(A17="","",ROUND(SUM(C17:H17),1))</f>
        <v/>
      </c>
      <c r="J17" s="32" t="n"/>
      <c r="K17" s="36">
        <f>IF(AND(Cleaned_Data!Y17="Y",ISNUMBER(I17)),I17+ROW()*0.000001,"")</f>
        <v/>
      </c>
    </row>
    <row r="18" ht="15" customHeight="1" s="22">
      <c r="A18" s="33">
        <f>IF(Cleaned_Data!A18="","",Cleaned_Data!A18)</f>
        <v/>
      </c>
      <c r="B18" s="33">
        <f>IF(Cleaned_Data!B18="","",Cleaned_Data!B18)</f>
        <v/>
      </c>
      <c r="C18" s="34">
        <f>IFERROR(IF(Cleaned_Data!A18="","",Config!$B$18*(Cleaned_Data!H18/5)*(Config!$B$15+(1-Config!$B$15)*MIN(1,Cleaned_Data!I18/Config!$B$14))),0)</f>
        <v/>
      </c>
      <c r="D18" s="34">
        <f>IFERROR(IF(Cleaned_Data!A18="","",Config!$B$19*(0.5*MIN(1,Cleaned_Data!M18/(Config!$B$7*1.5))+0.25*IF(Cleaned_Data!O18="Y",1,0)+0.25*IF(Cleaned_Data!N18="Y",1,0))),0)</f>
        <v/>
      </c>
      <c r="E18" s="34">
        <f>IFERROR(IF(Cleaned_Data!A18="","",Config!$B$20*MAX(0,1-ABS(Cleaned_Data!J18-Config!$B$11)/3)),0)</f>
        <v/>
      </c>
      <c r="F18" s="34">
        <f>IFERROR(IF(Cleaned_Data!A18="","",Config!$B$21*MAX(0,1-Cleaned_Data!P18/Config!$B$13)),0)</f>
        <v/>
      </c>
      <c r="G18" s="34">
        <f>IFERROR(IF(Cleaned_Data!A18="","",Config!$B$22*Cleaned_Data!X18),0)</f>
        <v/>
      </c>
      <c r="H18" s="34">
        <f>IFERROR(IF(Cleaned_Data!A18="","",Config!$B$23*(Cleaned_Data!W18/5)),0)</f>
        <v/>
      </c>
      <c r="I18" s="35">
        <f>IF(A18="","",ROUND(SUM(C18:H18),1))</f>
        <v/>
      </c>
      <c r="J18" s="32" t="n"/>
      <c r="K18" s="36">
        <f>IF(AND(Cleaned_Data!Y18="Y",ISNUMBER(I18)),I18+ROW()*0.000001,"")</f>
        <v/>
      </c>
    </row>
    <row r="19" ht="15" customHeight="1" s="22">
      <c r="A19" s="33">
        <f>IF(Cleaned_Data!A19="","",Cleaned_Data!A19)</f>
        <v/>
      </c>
      <c r="B19" s="33">
        <f>IF(Cleaned_Data!B19="","",Cleaned_Data!B19)</f>
        <v/>
      </c>
      <c r="C19" s="34">
        <f>IFERROR(IF(Cleaned_Data!A19="","",Config!$B$18*(Cleaned_Data!H19/5)*(Config!$B$15+(1-Config!$B$15)*MIN(1,Cleaned_Data!I19/Config!$B$14))),0)</f>
        <v/>
      </c>
      <c r="D19" s="34">
        <f>IFERROR(IF(Cleaned_Data!A19="","",Config!$B$19*(0.5*MIN(1,Cleaned_Data!M19/(Config!$B$7*1.5))+0.25*IF(Cleaned_Data!O19="Y",1,0)+0.25*IF(Cleaned_Data!N19="Y",1,0))),0)</f>
        <v/>
      </c>
      <c r="E19" s="34">
        <f>IFERROR(IF(Cleaned_Data!A19="","",Config!$B$20*MAX(0,1-ABS(Cleaned_Data!J19-Config!$B$11)/3)),0)</f>
        <v/>
      </c>
      <c r="F19" s="34">
        <f>IFERROR(IF(Cleaned_Data!A19="","",Config!$B$21*MAX(0,1-Cleaned_Data!P19/Config!$B$13)),0)</f>
        <v/>
      </c>
      <c r="G19" s="34">
        <f>IFERROR(IF(Cleaned_Data!A19="","",Config!$B$22*Cleaned_Data!X19),0)</f>
        <v/>
      </c>
      <c r="H19" s="34">
        <f>IFERROR(IF(Cleaned_Data!A19="","",Config!$B$23*(Cleaned_Data!W19/5)),0)</f>
        <v/>
      </c>
      <c r="I19" s="35">
        <f>IF(A19="","",ROUND(SUM(C19:H19),1))</f>
        <v/>
      </c>
      <c r="J19" s="32" t="n"/>
      <c r="K19" s="36">
        <f>IF(AND(Cleaned_Data!Y19="Y",ISNUMBER(I19)),I19+ROW()*0.000001,"")</f>
        <v/>
      </c>
    </row>
    <row r="20" ht="15" customHeight="1" s="22">
      <c r="A20" s="33">
        <f>IF(Cleaned_Data!A20="","",Cleaned_Data!A20)</f>
        <v/>
      </c>
      <c r="B20" s="33">
        <f>IF(Cleaned_Data!B20="","",Cleaned_Data!B20)</f>
        <v/>
      </c>
      <c r="C20" s="34">
        <f>IFERROR(IF(Cleaned_Data!A20="","",Config!$B$18*(Cleaned_Data!H20/5)*(Config!$B$15+(1-Config!$B$15)*MIN(1,Cleaned_Data!I20/Config!$B$14))),0)</f>
        <v/>
      </c>
      <c r="D20" s="34">
        <f>IFERROR(IF(Cleaned_Data!A20="","",Config!$B$19*(0.5*MIN(1,Cleaned_Data!M20/(Config!$B$7*1.5))+0.25*IF(Cleaned_Data!O20="Y",1,0)+0.25*IF(Cleaned_Data!N20="Y",1,0))),0)</f>
        <v/>
      </c>
      <c r="E20" s="34">
        <f>IFERROR(IF(Cleaned_Data!A20="","",Config!$B$20*MAX(0,1-ABS(Cleaned_Data!J20-Config!$B$11)/3)),0)</f>
        <v/>
      </c>
      <c r="F20" s="34">
        <f>IFERROR(IF(Cleaned_Data!A20="","",Config!$B$21*MAX(0,1-Cleaned_Data!P20/Config!$B$13)),0)</f>
        <v/>
      </c>
      <c r="G20" s="34">
        <f>IFERROR(IF(Cleaned_Data!A20="","",Config!$B$22*Cleaned_Data!X20),0)</f>
        <v/>
      </c>
      <c r="H20" s="34">
        <f>IFERROR(IF(Cleaned_Data!A20="","",Config!$B$23*(Cleaned_Data!W20/5)),0)</f>
        <v/>
      </c>
      <c r="I20" s="35">
        <f>IF(A20="","",ROUND(SUM(C20:H20),1))</f>
        <v/>
      </c>
      <c r="J20" s="32" t="n"/>
      <c r="K20" s="36">
        <f>IF(AND(Cleaned_Data!Y20="Y",ISNUMBER(I20)),I20+ROW()*0.000001,"")</f>
        <v/>
      </c>
    </row>
    <row r="21" ht="15" customHeight="1" s="22">
      <c r="A21" s="33">
        <f>IF(Cleaned_Data!A21="","",Cleaned_Data!A21)</f>
        <v/>
      </c>
      <c r="B21" s="33">
        <f>IF(Cleaned_Data!B21="","",Cleaned_Data!B21)</f>
        <v/>
      </c>
      <c r="C21" s="34">
        <f>IFERROR(IF(Cleaned_Data!A21="","",Config!$B$18*(Cleaned_Data!H21/5)*(Config!$B$15+(1-Config!$B$15)*MIN(1,Cleaned_Data!I21/Config!$B$14))),0)</f>
        <v/>
      </c>
      <c r="D21" s="34">
        <f>IFERROR(IF(Cleaned_Data!A21="","",Config!$B$19*(0.5*MIN(1,Cleaned_Data!M21/(Config!$B$7*1.5))+0.25*IF(Cleaned_Data!O21="Y",1,0)+0.25*IF(Cleaned_Data!N21="Y",1,0))),0)</f>
        <v/>
      </c>
      <c r="E21" s="34">
        <f>IFERROR(IF(Cleaned_Data!A21="","",Config!$B$20*MAX(0,1-ABS(Cleaned_Data!J21-Config!$B$11)/3)),0)</f>
        <v/>
      </c>
      <c r="F21" s="34">
        <f>IFERROR(IF(Cleaned_Data!A21="","",Config!$B$21*MAX(0,1-Cleaned_Data!P21/Config!$B$13)),0)</f>
        <v/>
      </c>
      <c r="G21" s="34">
        <f>IFERROR(IF(Cleaned_Data!A21="","",Config!$B$22*Cleaned_Data!X21),0)</f>
        <v/>
      </c>
      <c r="H21" s="34">
        <f>IFERROR(IF(Cleaned_Data!A21="","",Config!$B$23*(Cleaned_Data!W21/5)),0)</f>
        <v/>
      </c>
      <c r="I21" s="35">
        <f>IF(A21="","",ROUND(SUM(C21:H21),1))</f>
        <v/>
      </c>
      <c r="J21" s="32" t="n"/>
      <c r="K21" s="36">
        <f>IF(AND(Cleaned_Data!Y21="Y",ISNUMBER(I21)),I21+ROW()*0.000001,"")</f>
        <v/>
      </c>
    </row>
    <row r="22" ht="15" customHeight="1" s="22">
      <c r="A22" s="33">
        <f>IF(Cleaned_Data!A22="","",Cleaned_Data!A22)</f>
        <v/>
      </c>
      <c r="B22" s="33">
        <f>IF(Cleaned_Data!B22="","",Cleaned_Data!B22)</f>
        <v/>
      </c>
      <c r="C22" s="34">
        <f>IFERROR(IF(Cleaned_Data!A22="","",Config!$B$18*(Cleaned_Data!H22/5)*(Config!$B$15+(1-Config!$B$15)*MIN(1,Cleaned_Data!I22/Config!$B$14))),0)</f>
        <v/>
      </c>
      <c r="D22" s="34">
        <f>IFERROR(IF(Cleaned_Data!A22="","",Config!$B$19*(0.5*MIN(1,Cleaned_Data!M22/(Config!$B$7*1.5))+0.25*IF(Cleaned_Data!O22="Y",1,0)+0.25*IF(Cleaned_Data!N22="Y",1,0))),0)</f>
        <v/>
      </c>
      <c r="E22" s="34">
        <f>IFERROR(IF(Cleaned_Data!A22="","",Config!$B$20*MAX(0,1-ABS(Cleaned_Data!J22-Config!$B$11)/3)),0)</f>
        <v/>
      </c>
      <c r="F22" s="34">
        <f>IFERROR(IF(Cleaned_Data!A22="","",Config!$B$21*MAX(0,1-Cleaned_Data!P22/Config!$B$13)),0)</f>
        <v/>
      </c>
      <c r="G22" s="34">
        <f>IFERROR(IF(Cleaned_Data!A22="","",Config!$B$22*Cleaned_Data!X22),0)</f>
        <v/>
      </c>
      <c r="H22" s="34">
        <f>IFERROR(IF(Cleaned_Data!A22="","",Config!$B$23*(Cleaned_Data!W22/5)),0)</f>
        <v/>
      </c>
      <c r="I22" s="35">
        <f>IF(A22="","",ROUND(SUM(C22:H22),1))</f>
        <v/>
      </c>
      <c r="J22" s="32" t="n"/>
      <c r="K22" s="36">
        <f>IF(AND(Cleaned_Data!Y22="Y",ISNUMBER(I22)),I22+ROW()*0.000001,"")</f>
        <v/>
      </c>
    </row>
    <row r="23" ht="15" customHeight="1" s="22">
      <c r="A23" s="33">
        <f>IF(Cleaned_Data!A23="","",Cleaned_Data!A23)</f>
        <v/>
      </c>
      <c r="B23" s="33">
        <f>IF(Cleaned_Data!B23="","",Cleaned_Data!B23)</f>
        <v/>
      </c>
      <c r="C23" s="34">
        <f>IFERROR(IF(Cleaned_Data!A23="","",Config!$B$18*(Cleaned_Data!H23/5)*(Config!$B$15+(1-Config!$B$15)*MIN(1,Cleaned_Data!I23/Config!$B$14))),0)</f>
        <v/>
      </c>
      <c r="D23" s="34">
        <f>IFERROR(IF(Cleaned_Data!A23="","",Config!$B$19*(0.5*MIN(1,Cleaned_Data!M23/(Config!$B$7*1.5))+0.25*IF(Cleaned_Data!O23="Y",1,0)+0.25*IF(Cleaned_Data!N23="Y",1,0))),0)</f>
        <v/>
      </c>
      <c r="E23" s="34">
        <f>IFERROR(IF(Cleaned_Data!A23="","",Config!$B$20*MAX(0,1-ABS(Cleaned_Data!J23-Config!$B$11)/3)),0)</f>
        <v/>
      </c>
      <c r="F23" s="34">
        <f>IFERROR(IF(Cleaned_Data!A23="","",Config!$B$21*MAX(0,1-Cleaned_Data!P23/Config!$B$13)),0)</f>
        <v/>
      </c>
      <c r="G23" s="34">
        <f>IFERROR(IF(Cleaned_Data!A23="","",Config!$B$22*Cleaned_Data!X23),0)</f>
        <v/>
      </c>
      <c r="H23" s="34">
        <f>IFERROR(IF(Cleaned_Data!A23="","",Config!$B$23*(Cleaned_Data!W23/5)),0)</f>
        <v/>
      </c>
      <c r="I23" s="35">
        <f>IF(A23="","",ROUND(SUM(C23:H23),1))</f>
        <v/>
      </c>
      <c r="J23" s="32" t="n"/>
      <c r="K23" s="36">
        <f>IF(AND(Cleaned_Data!Y23="Y",ISNUMBER(I23)),I23+ROW()*0.000001,"")</f>
        <v/>
      </c>
    </row>
    <row r="24" ht="15" customHeight="1" s="22">
      <c r="A24" s="33">
        <f>IF(Cleaned_Data!A24="","",Cleaned_Data!A24)</f>
        <v/>
      </c>
      <c r="B24" s="33">
        <f>IF(Cleaned_Data!B24="","",Cleaned_Data!B24)</f>
        <v/>
      </c>
      <c r="C24" s="34">
        <f>IFERROR(IF(Cleaned_Data!A24="","",Config!$B$18*(Cleaned_Data!H24/5)*(Config!$B$15+(1-Config!$B$15)*MIN(1,Cleaned_Data!I24/Config!$B$14))),0)</f>
        <v/>
      </c>
      <c r="D24" s="34">
        <f>IFERROR(IF(Cleaned_Data!A24="","",Config!$B$19*(0.5*MIN(1,Cleaned_Data!M24/(Config!$B$7*1.5))+0.25*IF(Cleaned_Data!O24="Y",1,0)+0.25*IF(Cleaned_Data!N24="Y",1,0))),0)</f>
        <v/>
      </c>
      <c r="E24" s="34">
        <f>IFERROR(IF(Cleaned_Data!A24="","",Config!$B$20*MAX(0,1-ABS(Cleaned_Data!J24-Config!$B$11)/3)),0)</f>
        <v/>
      </c>
      <c r="F24" s="34">
        <f>IFERROR(IF(Cleaned_Data!A24="","",Config!$B$21*MAX(0,1-Cleaned_Data!P24/Config!$B$13)),0)</f>
        <v/>
      </c>
      <c r="G24" s="34">
        <f>IFERROR(IF(Cleaned_Data!A24="","",Config!$B$22*Cleaned_Data!X24),0)</f>
        <v/>
      </c>
      <c r="H24" s="34">
        <f>IFERROR(IF(Cleaned_Data!A24="","",Config!$B$23*(Cleaned_Data!W24/5)),0)</f>
        <v/>
      </c>
      <c r="I24" s="35">
        <f>IF(A24="","",ROUND(SUM(C24:H24),1))</f>
        <v/>
      </c>
      <c r="J24" s="32" t="n"/>
      <c r="K24" s="36">
        <f>IF(AND(Cleaned_Data!Y24="Y",ISNUMBER(I24)),I24+ROW()*0.000001,"")</f>
        <v/>
      </c>
    </row>
    <row r="25" ht="15" customHeight="1" s="22">
      <c r="A25" s="33">
        <f>IF(Cleaned_Data!A25="","",Cleaned_Data!A25)</f>
        <v/>
      </c>
      <c r="B25" s="33">
        <f>IF(Cleaned_Data!B25="","",Cleaned_Data!B25)</f>
        <v/>
      </c>
      <c r="C25" s="34">
        <f>IFERROR(IF(Cleaned_Data!A25="","",Config!$B$18*(Cleaned_Data!H25/5)*(Config!$B$15+(1-Config!$B$15)*MIN(1,Cleaned_Data!I25/Config!$B$14))),0)</f>
        <v/>
      </c>
      <c r="D25" s="34">
        <f>IFERROR(IF(Cleaned_Data!A25="","",Config!$B$19*(0.5*MIN(1,Cleaned_Data!M25/(Config!$B$7*1.5))+0.25*IF(Cleaned_Data!O25="Y",1,0)+0.25*IF(Cleaned_Data!N25="Y",1,0))),0)</f>
        <v/>
      </c>
      <c r="E25" s="34">
        <f>IFERROR(IF(Cleaned_Data!A25="","",Config!$B$20*MAX(0,1-ABS(Cleaned_Data!J25-Config!$B$11)/3)),0)</f>
        <v/>
      </c>
      <c r="F25" s="34">
        <f>IFERROR(IF(Cleaned_Data!A25="","",Config!$B$21*MAX(0,1-Cleaned_Data!P25/Config!$B$13)),0)</f>
        <v/>
      </c>
      <c r="G25" s="34">
        <f>IFERROR(IF(Cleaned_Data!A25="","",Config!$B$22*Cleaned_Data!X25),0)</f>
        <v/>
      </c>
      <c r="H25" s="34">
        <f>IFERROR(IF(Cleaned_Data!A25="","",Config!$B$23*(Cleaned_Data!W25/5)),0)</f>
        <v/>
      </c>
      <c r="I25" s="35">
        <f>IF(A25="","",ROUND(SUM(C25:H25),1))</f>
        <v/>
      </c>
      <c r="J25" s="32" t="n"/>
      <c r="K25" s="36">
        <f>IF(AND(Cleaned_Data!Y25="Y",ISNUMBER(I25)),I25+ROW()*0.000001,"")</f>
        <v/>
      </c>
    </row>
    <row r="26" ht="15" customHeight="1" s="22">
      <c r="A26" s="33">
        <f>IF(Cleaned_Data!A26="","",Cleaned_Data!A26)</f>
        <v/>
      </c>
      <c r="B26" s="33">
        <f>IF(Cleaned_Data!B26="","",Cleaned_Data!B26)</f>
        <v/>
      </c>
      <c r="C26" s="34">
        <f>IFERROR(IF(Cleaned_Data!A26="","",Config!$B$18*(Cleaned_Data!H26/5)*(Config!$B$15+(1-Config!$B$15)*MIN(1,Cleaned_Data!I26/Config!$B$14))),0)</f>
        <v/>
      </c>
      <c r="D26" s="34">
        <f>IFERROR(IF(Cleaned_Data!A26="","",Config!$B$19*(0.5*MIN(1,Cleaned_Data!M26/(Config!$B$7*1.5))+0.25*IF(Cleaned_Data!O26="Y",1,0)+0.25*IF(Cleaned_Data!N26="Y",1,0))),0)</f>
        <v/>
      </c>
      <c r="E26" s="34">
        <f>IFERROR(IF(Cleaned_Data!A26="","",Config!$B$20*MAX(0,1-ABS(Cleaned_Data!J26-Config!$B$11)/3)),0)</f>
        <v/>
      </c>
      <c r="F26" s="34">
        <f>IFERROR(IF(Cleaned_Data!A26="","",Config!$B$21*MAX(0,1-Cleaned_Data!P26/Config!$B$13)),0)</f>
        <v/>
      </c>
      <c r="G26" s="34">
        <f>IFERROR(IF(Cleaned_Data!A26="","",Config!$B$22*Cleaned_Data!X26),0)</f>
        <v/>
      </c>
      <c r="H26" s="34">
        <f>IFERROR(IF(Cleaned_Data!A26="","",Config!$B$23*(Cleaned_Data!W26/5)),0)</f>
        <v/>
      </c>
      <c r="I26" s="35">
        <f>IF(A26="","",ROUND(SUM(C26:H26),1))</f>
        <v/>
      </c>
      <c r="J26" s="32" t="n"/>
      <c r="K26" s="36">
        <f>IF(AND(Cleaned_Data!Y26="Y",ISNUMBER(I26)),I26+ROW()*0.000001,"")</f>
        <v/>
      </c>
    </row>
    <row r="27" ht="15" customHeight="1" s="22">
      <c r="A27" s="33">
        <f>IF(Cleaned_Data!A27="","",Cleaned_Data!A27)</f>
        <v/>
      </c>
      <c r="B27" s="33">
        <f>IF(Cleaned_Data!B27="","",Cleaned_Data!B27)</f>
        <v/>
      </c>
      <c r="C27" s="34">
        <f>IFERROR(IF(Cleaned_Data!A27="","",Config!$B$18*(Cleaned_Data!H27/5)*(Config!$B$15+(1-Config!$B$15)*MIN(1,Cleaned_Data!I27/Config!$B$14))),0)</f>
        <v/>
      </c>
      <c r="D27" s="34">
        <f>IFERROR(IF(Cleaned_Data!A27="","",Config!$B$19*(0.5*MIN(1,Cleaned_Data!M27/(Config!$B$7*1.5))+0.25*IF(Cleaned_Data!O27="Y",1,0)+0.25*IF(Cleaned_Data!N27="Y",1,0))),0)</f>
        <v/>
      </c>
      <c r="E27" s="34">
        <f>IFERROR(IF(Cleaned_Data!A27="","",Config!$B$20*MAX(0,1-ABS(Cleaned_Data!J27-Config!$B$11)/3)),0)</f>
        <v/>
      </c>
      <c r="F27" s="34">
        <f>IFERROR(IF(Cleaned_Data!A27="","",Config!$B$21*MAX(0,1-Cleaned_Data!P27/Config!$B$13)),0)</f>
        <v/>
      </c>
      <c r="G27" s="34">
        <f>IFERROR(IF(Cleaned_Data!A27="","",Config!$B$22*Cleaned_Data!X27),0)</f>
        <v/>
      </c>
      <c r="H27" s="34">
        <f>IFERROR(IF(Cleaned_Data!A27="","",Config!$B$23*(Cleaned_Data!W27/5)),0)</f>
        <v/>
      </c>
      <c r="I27" s="35">
        <f>IF(A27="","",ROUND(SUM(C27:H27),1))</f>
        <v/>
      </c>
      <c r="J27" s="32" t="n"/>
      <c r="K27" s="36">
        <f>IF(AND(Cleaned_Data!Y27="Y",ISNUMBER(I27)),I27+ROW()*0.000001,"")</f>
        <v/>
      </c>
    </row>
    <row r="28" ht="15" customHeight="1" s="22">
      <c r="A28" s="33">
        <f>IF(Cleaned_Data!A28="","",Cleaned_Data!A28)</f>
        <v/>
      </c>
      <c r="B28" s="33">
        <f>IF(Cleaned_Data!B28="","",Cleaned_Data!B28)</f>
        <v/>
      </c>
      <c r="C28" s="34">
        <f>IFERROR(IF(Cleaned_Data!A28="","",Config!$B$18*(Cleaned_Data!H28/5)*(Config!$B$15+(1-Config!$B$15)*MIN(1,Cleaned_Data!I28/Config!$B$14))),0)</f>
        <v/>
      </c>
      <c r="D28" s="34">
        <f>IFERROR(IF(Cleaned_Data!A28="","",Config!$B$19*(0.5*MIN(1,Cleaned_Data!M28/(Config!$B$7*1.5))+0.25*IF(Cleaned_Data!O28="Y",1,0)+0.25*IF(Cleaned_Data!N28="Y",1,0))),0)</f>
        <v/>
      </c>
      <c r="E28" s="34">
        <f>IFERROR(IF(Cleaned_Data!A28="","",Config!$B$20*MAX(0,1-ABS(Cleaned_Data!J28-Config!$B$11)/3)),0)</f>
        <v/>
      </c>
      <c r="F28" s="34">
        <f>IFERROR(IF(Cleaned_Data!A28="","",Config!$B$21*MAX(0,1-Cleaned_Data!P28/Config!$B$13)),0)</f>
        <v/>
      </c>
      <c r="G28" s="34">
        <f>IFERROR(IF(Cleaned_Data!A28="","",Config!$B$22*Cleaned_Data!X28),0)</f>
        <v/>
      </c>
      <c r="H28" s="34">
        <f>IFERROR(IF(Cleaned_Data!A28="","",Config!$B$23*(Cleaned_Data!W28/5)),0)</f>
        <v/>
      </c>
      <c r="I28" s="35">
        <f>IF(A28="","",ROUND(SUM(C28:H28),1))</f>
        <v/>
      </c>
      <c r="J28" s="32" t="n"/>
      <c r="K28" s="36">
        <f>IF(AND(Cleaned_Data!Y28="Y",ISNUMBER(I28)),I28+ROW()*0.000001,"")</f>
        <v/>
      </c>
    </row>
    <row r="29" ht="15" customHeight="1" s="22">
      <c r="A29" s="33">
        <f>IF(Cleaned_Data!A29="","",Cleaned_Data!A29)</f>
        <v/>
      </c>
      <c r="B29" s="33">
        <f>IF(Cleaned_Data!B29="","",Cleaned_Data!B29)</f>
        <v/>
      </c>
      <c r="C29" s="34">
        <f>IFERROR(IF(Cleaned_Data!A29="","",Config!$B$18*(Cleaned_Data!H29/5)*(Config!$B$15+(1-Config!$B$15)*MIN(1,Cleaned_Data!I29/Config!$B$14))),0)</f>
        <v/>
      </c>
      <c r="D29" s="34">
        <f>IFERROR(IF(Cleaned_Data!A29="","",Config!$B$19*(0.5*MIN(1,Cleaned_Data!M29/(Config!$B$7*1.5))+0.25*IF(Cleaned_Data!O29="Y",1,0)+0.25*IF(Cleaned_Data!N29="Y",1,0))),0)</f>
        <v/>
      </c>
      <c r="E29" s="34">
        <f>IFERROR(IF(Cleaned_Data!A29="","",Config!$B$20*MAX(0,1-ABS(Cleaned_Data!J29-Config!$B$11)/3)),0)</f>
        <v/>
      </c>
      <c r="F29" s="34">
        <f>IFERROR(IF(Cleaned_Data!A29="","",Config!$B$21*MAX(0,1-Cleaned_Data!P29/Config!$B$13)),0)</f>
        <v/>
      </c>
      <c r="G29" s="34">
        <f>IFERROR(IF(Cleaned_Data!A29="","",Config!$B$22*Cleaned_Data!X29),0)</f>
        <v/>
      </c>
      <c r="H29" s="34">
        <f>IFERROR(IF(Cleaned_Data!A29="","",Config!$B$23*(Cleaned_Data!W29/5)),0)</f>
        <v/>
      </c>
      <c r="I29" s="35">
        <f>IF(A29="","",ROUND(SUM(C29:H29),1))</f>
        <v/>
      </c>
      <c r="J29" s="32" t="n"/>
      <c r="K29" s="36">
        <f>IF(AND(Cleaned_Data!Y29="Y",ISNUMBER(I29)),I29+ROW()*0.000001,"")</f>
        <v/>
      </c>
    </row>
    <row r="30" ht="15" customHeight="1" s="22">
      <c r="A30" s="33">
        <f>IF(Cleaned_Data!A30="","",Cleaned_Data!A30)</f>
        <v/>
      </c>
      <c r="B30" s="33">
        <f>IF(Cleaned_Data!B30="","",Cleaned_Data!B30)</f>
        <v/>
      </c>
      <c r="C30" s="34">
        <f>IFERROR(IF(Cleaned_Data!A30="","",Config!$B$18*(Cleaned_Data!H30/5)*(Config!$B$15+(1-Config!$B$15)*MIN(1,Cleaned_Data!I30/Config!$B$14))),0)</f>
        <v/>
      </c>
      <c r="D30" s="34">
        <f>IFERROR(IF(Cleaned_Data!A30="","",Config!$B$19*(0.5*MIN(1,Cleaned_Data!M30/(Config!$B$7*1.5))+0.25*IF(Cleaned_Data!O30="Y",1,0)+0.25*IF(Cleaned_Data!N30="Y",1,0))),0)</f>
        <v/>
      </c>
      <c r="E30" s="34">
        <f>IFERROR(IF(Cleaned_Data!A30="","",Config!$B$20*MAX(0,1-ABS(Cleaned_Data!J30-Config!$B$11)/3)),0)</f>
        <v/>
      </c>
      <c r="F30" s="34">
        <f>IFERROR(IF(Cleaned_Data!A30="","",Config!$B$21*MAX(0,1-Cleaned_Data!P30/Config!$B$13)),0)</f>
        <v/>
      </c>
      <c r="G30" s="34">
        <f>IFERROR(IF(Cleaned_Data!A30="","",Config!$B$22*Cleaned_Data!X30),0)</f>
        <v/>
      </c>
      <c r="H30" s="34">
        <f>IFERROR(IF(Cleaned_Data!A30="","",Config!$B$23*(Cleaned_Data!W30/5)),0)</f>
        <v/>
      </c>
      <c r="I30" s="35">
        <f>IF(A30="","",ROUND(SUM(C30:H30),1))</f>
        <v/>
      </c>
      <c r="J30" s="32" t="n"/>
      <c r="K30" s="36">
        <f>IF(AND(Cleaned_Data!Y30="Y",ISNUMBER(I30)),I30+ROW()*0.000001,"")</f>
        <v/>
      </c>
    </row>
    <row r="31" ht="15" customHeight="1" s="22">
      <c r="A31" s="33">
        <f>IF(Cleaned_Data!A31="","",Cleaned_Data!A31)</f>
        <v/>
      </c>
      <c r="B31" s="33">
        <f>IF(Cleaned_Data!B31="","",Cleaned_Data!B31)</f>
        <v/>
      </c>
      <c r="C31" s="34">
        <f>IFERROR(IF(Cleaned_Data!A31="","",Config!$B$18*(Cleaned_Data!H31/5)*(Config!$B$15+(1-Config!$B$15)*MIN(1,Cleaned_Data!I31/Config!$B$14))),0)</f>
        <v/>
      </c>
      <c r="D31" s="34">
        <f>IFERROR(IF(Cleaned_Data!A31="","",Config!$B$19*(0.5*MIN(1,Cleaned_Data!M31/(Config!$B$7*1.5))+0.25*IF(Cleaned_Data!O31="Y",1,0)+0.25*IF(Cleaned_Data!N31="Y",1,0))),0)</f>
        <v/>
      </c>
      <c r="E31" s="34">
        <f>IFERROR(IF(Cleaned_Data!A31="","",Config!$B$20*MAX(0,1-ABS(Cleaned_Data!J31-Config!$B$11)/3)),0)</f>
        <v/>
      </c>
      <c r="F31" s="34">
        <f>IFERROR(IF(Cleaned_Data!A31="","",Config!$B$21*MAX(0,1-Cleaned_Data!P31/Config!$B$13)),0)</f>
        <v/>
      </c>
      <c r="G31" s="34">
        <f>IFERROR(IF(Cleaned_Data!A31="","",Config!$B$22*Cleaned_Data!X31),0)</f>
        <v/>
      </c>
      <c r="H31" s="34">
        <f>IFERROR(IF(Cleaned_Data!A31="","",Config!$B$23*(Cleaned_Data!W31/5)),0)</f>
        <v/>
      </c>
      <c r="I31" s="35">
        <f>IF(A31="","",ROUND(SUM(C31:H31),1))</f>
        <v/>
      </c>
      <c r="J31" s="32" t="n"/>
      <c r="K31" s="36">
        <f>IF(AND(Cleaned_Data!Y31="Y",ISNUMBER(I31)),I31+ROW()*0.000001,"")</f>
        <v/>
      </c>
    </row>
    <row r="32" ht="15" customHeight="1" s="22">
      <c r="A32" s="33">
        <f>IF(Cleaned_Data!A32="","",Cleaned_Data!A32)</f>
        <v/>
      </c>
      <c r="B32" s="33">
        <f>IF(Cleaned_Data!B32="","",Cleaned_Data!B32)</f>
        <v/>
      </c>
      <c r="C32" s="34">
        <f>IFERROR(IF(Cleaned_Data!A32="","",Config!$B$18*(Cleaned_Data!H32/5)*(Config!$B$15+(1-Config!$B$15)*MIN(1,Cleaned_Data!I32/Config!$B$14))),0)</f>
        <v/>
      </c>
      <c r="D32" s="34">
        <f>IFERROR(IF(Cleaned_Data!A32="","",Config!$B$19*(0.5*MIN(1,Cleaned_Data!M32/(Config!$B$7*1.5))+0.25*IF(Cleaned_Data!O32="Y",1,0)+0.25*IF(Cleaned_Data!N32="Y",1,0))),0)</f>
        <v/>
      </c>
      <c r="E32" s="34">
        <f>IFERROR(IF(Cleaned_Data!A32="","",Config!$B$20*MAX(0,1-ABS(Cleaned_Data!J32-Config!$B$11)/3)),0)</f>
        <v/>
      </c>
      <c r="F32" s="34">
        <f>IFERROR(IF(Cleaned_Data!A32="","",Config!$B$21*MAX(0,1-Cleaned_Data!P32/Config!$B$13)),0)</f>
        <v/>
      </c>
      <c r="G32" s="34">
        <f>IFERROR(IF(Cleaned_Data!A32="","",Config!$B$22*Cleaned_Data!X32),0)</f>
        <v/>
      </c>
      <c r="H32" s="34">
        <f>IFERROR(IF(Cleaned_Data!A32="","",Config!$B$23*(Cleaned_Data!W32/5)),0)</f>
        <v/>
      </c>
      <c r="I32" s="35">
        <f>IF(A32="","",ROUND(SUM(C32:H32),1))</f>
        <v/>
      </c>
      <c r="J32" s="32" t="n"/>
      <c r="K32" s="36">
        <f>IF(AND(Cleaned_Data!Y32="Y",ISNUMBER(I32)),I32+ROW()*0.000001,"")</f>
        <v/>
      </c>
    </row>
    <row r="33" ht="15" customHeight="1" s="22">
      <c r="A33" s="33">
        <f>IF(Cleaned_Data!A33="","",Cleaned_Data!A33)</f>
        <v/>
      </c>
      <c r="B33" s="33">
        <f>IF(Cleaned_Data!B33="","",Cleaned_Data!B33)</f>
        <v/>
      </c>
      <c r="C33" s="34">
        <f>IFERROR(IF(Cleaned_Data!A33="","",Config!$B$18*(Cleaned_Data!H33/5)*(Config!$B$15+(1-Config!$B$15)*MIN(1,Cleaned_Data!I33/Config!$B$14))),0)</f>
        <v/>
      </c>
      <c r="D33" s="34">
        <f>IFERROR(IF(Cleaned_Data!A33="","",Config!$B$19*(0.5*MIN(1,Cleaned_Data!M33/(Config!$B$7*1.5))+0.25*IF(Cleaned_Data!O33="Y",1,0)+0.25*IF(Cleaned_Data!N33="Y",1,0))),0)</f>
        <v/>
      </c>
      <c r="E33" s="34">
        <f>IFERROR(IF(Cleaned_Data!A33="","",Config!$B$20*MAX(0,1-ABS(Cleaned_Data!J33-Config!$B$11)/3)),0)</f>
        <v/>
      </c>
      <c r="F33" s="34">
        <f>IFERROR(IF(Cleaned_Data!A33="","",Config!$B$21*MAX(0,1-Cleaned_Data!P33/Config!$B$13)),0)</f>
        <v/>
      </c>
      <c r="G33" s="34">
        <f>IFERROR(IF(Cleaned_Data!A33="","",Config!$B$22*Cleaned_Data!X33),0)</f>
        <v/>
      </c>
      <c r="H33" s="34">
        <f>IFERROR(IF(Cleaned_Data!A33="","",Config!$B$23*(Cleaned_Data!W33/5)),0)</f>
        <v/>
      </c>
      <c r="I33" s="35">
        <f>IF(A33="","",ROUND(SUM(C33:H33),1))</f>
        <v/>
      </c>
      <c r="J33" s="32" t="n"/>
      <c r="K33" s="36">
        <f>IF(AND(Cleaned_Data!Y33="Y",ISNUMBER(I33)),I33+ROW()*0.000001,"")</f>
        <v/>
      </c>
    </row>
    <row r="34" ht="15" customHeight="1" s="22">
      <c r="A34" s="33">
        <f>IF(Cleaned_Data!A34="","",Cleaned_Data!A34)</f>
        <v/>
      </c>
      <c r="B34" s="33">
        <f>IF(Cleaned_Data!B34="","",Cleaned_Data!B34)</f>
        <v/>
      </c>
      <c r="C34" s="34">
        <f>IFERROR(IF(Cleaned_Data!A34="","",Config!$B$18*(Cleaned_Data!H34/5)*(Config!$B$15+(1-Config!$B$15)*MIN(1,Cleaned_Data!I34/Config!$B$14))),0)</f>
        <v/>
      </c>
      <c r="D34" s="34">
        <f>IFERROR(IF(Cleaned_Data!A34="","",Config!$B$19*(0.5*MIN(1,Cleaned_Data!M34/(Config!$B$7*1.5))+0.25*IF(Cleaned_Data!O34="Y",1,0)+0.25*IF(Cleaned_Data!N34="Y",1,0))),0)</f>
        <v/>
      </c>
      <c r="E34" s="34">
        <f>IFERROR(IF(Cleaned_Data!A34="","",Config!$B$20*MAX(0,1-ABS(Cleaned_Data!J34-Config!$B$11)/3)),0)</f>
        <v/>
      </c>
      <c r="F34" s="34">
        <f>IFERROR(IF(Cleaned_Data!A34="","",Config!$B$21*MAX(0,1-Cleaned_Data!P34/Config!$B$13)),0)</f>
        <v/>
      </c>
      <c r="G34" s="34">
        <f>IFERROR(IF(Cleaned_Data!A34="","",Config!$B$22*Cleaned_Data!X34),0)</f>
        <v/>
      </c>
      <c r="H34" s="34">
        <f>IFERROR(IF(Cleaned_Data!A34="","",Config!$B$23*(Cleaned_Data!W34/5)),0)</f>
        <v/>
      </c>
      <c r="I34" s="35">
        <f>IF(A34="","",ROUND(SUM(C34:H34),1))</f>
        <v/>
      </c>
      <c r="J34" s="32" t="n"/>
      <c r="K34" s="36">
        <f>IF(AND(Cleaned_Data!Y34="Y",ISNUMBER(I34)),I34+ROW()*0.000001,"")</f>
        <v/>
      </c>
    </row>
    <row r="35" ht="15" customHeight="1" s="22">
      <c r="A35" s="33">
        <f>IF(Cleaned_Data!A35="","",Cleaned_Data!A35)</f>
        <v/>
      </c>
      <c r="B35" s="33">
        <f>IF(Cleaned_Data!B35="","",Cleaned_Data!B35)</f>
        <v/>
      </c>
      <c r="C35" s="34">
        <f>IFERROR(IF(Cleaned_Data!A35="","",Config!$B$18*(Cleaned_Data!H35/5)*(Config!$B$15+(1-Config!$B$15)*MIN(1,Cleaned_Data!I35/Config!$B$14))),0)</f>
        <v/>
      </c>
      <c r="D35" s="34">
        <f>IFERROR(IF(Cleaned_Data!A35="","",Config!$B$19*(0.5*MIN(1,Cleaned_Data!M35/(Config!$B$7*1.5))+0.25*IF(Cleaned_Data!O35="Y",1,0)+0.25*IF(Cleaned_Data!N35="Y",1,0))),0)</f>
        <v/>
      </c>
      <c r="E35" s="34">
        <f>IFERROR(IF(Cleaned_Data!A35="","",Config!$B$20*MAX(0,1-ABS(Cleaned_Data!J35-Config!$B$11)/3)),0)</f>
        <v/>
      </c>
      <c r="F35" s="34">
        <f>IFERROR(IF(Cleaned_Data!A35="","",Config!$B$21*MAX(0,1-Cleaned_Data!P35/Config!$B$13)),0)</f>
        <v/>
      </c>
      <c r="G35" s="34">
        <f>IFERROR(IF(Cleaned_Data!A35="","",Config!$B$22*Cleaned_Data!X35),0)</f>
        <v/>
      </c>
      <c r="H35" s="34">
        <f>IFERROR(IF(Cleaned_Data!A35="","",Config!$B$23*(Cleaned_Data!W35/5)),0)</f>
        <v/>
      </c>
      <c r="I35" s="35">
        <f>IF(A35="","",ROUND(SUM(C35:H35),1))</f>
        <v/>
      </c>
      <c r="J35" s="32" t="n"/>
      <c r="K35" s="36">
        <f>IF(AND(Cleaned_Data!Y35="Y",ISNUMBER(I35)),I35+ROW()*0.000001,"")</f>
        <v/>
      </c>
    </row>
    <row r="36" ht="15" customHeight="1" s="22">
      <c r="A36" s="33">
        <f>IF(Cleaned_Data!A36="","",Cleaned_Data!A36)</f>
        <v/>
      </c>
      <c r="B36" s="33">
        <f>IF(Cleaned_Data!B36="","",Cleaned_Data!B36)</f>
        <v/>
      </c>
      <c r="C36" s="34">
        <f>IFERROR(IF(Cleaned_Data!A36="","",Config!$B$18*(Cleaned_Data!H36/5)*(Config!$B$15+(1-Config!$B$15)*MIN(1,Cleaned_Data!I36/Config!$B$14))),0)</f>
        <v/>
      </c>
      <c r="D36" s="34">
        <f>IFERROR(IF(Cleaned_Data!A36="","",Config!$B$19*(0.5*MIN(1,Cleaned_Data!M36/(Config!$B$7*1.5))+0.25*IF(Cleaned_Data!O36="Y",1,0)+0.25*IF(Cleaned_Data!N36="Y",1,0))),0)</f>
        <v/>
      </c>
      <c r="E36" s="34">
        <f>IFERROR(IF(Cleaned_Data!A36="","",Config!$B$20*MAX(0,1-ABS(Cleaned_Data!J36-Config!$B$11)/3)),0)</f>
        <v/>
      </c>
      <c r="F36" s="34">
        <f>IFERROR(IF(Cleaned_Data!A36="","",Config!$B$21*MAX(0,1-Cleaned_Data!P36/Config!$B$13)),0)</f>
        <v/>
      </c>
      <c r="G36" s="34">
        <f>IFERROR(IF(Cleaned_Data!A36="","",Config!$B$22*Cleaned_Data!X36),0)</f>
        <v/>
      </c>
      <c r="H36" s="34">
        <f>IFERROR(IF(Cleaned_Data!A36="","",Config!$B$23*(Cleaned_Data!W36/5)),0)</f>
        <v/>
      </c>
      <c r="I36" s="35">
        <f>IF(A36="","",ROUND(SUM(C36:H36),1))</f>
        <v/>
      </c>
      <c r="J36" s="32" t="n"/>
      <c r="K36" s="36">
        <f>IF(AND(Cleaned_Data!Y36="Y",ISNUMBER(I36)),I36+ROW()*0.000001,"")</f>
        <v/>
      </c>
    </row>
    <row r="37" ht="15" customHeight="1" s="22">
      <c r="A37" s="33">
        <f>IF(Cleaned_Data!A37="","",Cleaned_Data!A37)</f>
        <v/>
      </c>
      <c r="B37" s="33">
        <f>IF(Cleaned_Data!B37="","",Cleaned_Data!B37)</f>
        <v/>
      </c>
      <c r="C37" s="34">
        <f>IFERROR(IF(Cleaned_Data!A37="","",Config!$B$18*(Cleaned_Data!H37/5)*(Config!$B$15+(1-Config!$B$15)*MIN(1,Cleaned_Data!I37/Config!$B$14))),0)</f>
        <v/>
      </c>
      <c r="D37" s="34">
        <f>IFERROR(IF(Cleaned_Data!A37="","",Config!$B$19*(0.5*MIN(1,Cleaned_Data!M37/(Config!$B$7*1.5))+0.25*IF(Cleaned_Data!O37="Y",1,0)+0.25*IF(Cleaned_Data!N37="Y",1,0))),0)</f>
        <v/>
      </c>
      <c r="E37" s="34">
        <f>IFERROR(IF(Cleaned_Data!A37="","",Config!$B$20*MAX(0,1-ABS(Cleaned_Data!J37-Config!$B$11)/3)),0)</f>
        <v/>
      </c>
      <c r="F37" s="34">
        <f>IFERROR(IF(Cleaned_Data!A37="","",Config!$B$21*MAX(0,1-Cleaned_Data!P37/Config!$B$13)),0)</f>
        <v/>
      </c>
      <c r="G37" s="34">
        <f>IFERROR(IF(Cleaned_Data!A37="","",Config!$B$22*Cleaned_Data!X37),0)</f>
        <v/>
      </c>
      <c r="H37" s="34">
        <f>IFERROR(IF(Cleaned_Data!A37="","",Config!$B$23*(Cleaned_Data!W37/5)),0)</f>
        <v/>
      </c>
      <c r="I37" s="35">
        <f>IF(A37="","",ROUND(SUM(C37:H37),1))</f>
        <v/>
      </c>
      <c r="J37" s="32" t="n"/>
      <c r="K37" s="36">
        <f>IF(AND(Cleaned_Data!Y37="Y",ISNUMBER(I37)),I37+ROW()*0.000001,"")</f>
        <v/>
      </c>
    </row>
    <row r="38" ht="15" customHeight="1" s="22">
      <c r="A38" s="33">
        <f>IF(Cleaned_Data!A38="","",Cleaned_Data!A38)</f>
        <v/>
      </c>
      <c r="B38" s="33">
        <f>IF(Cleaned_Data!B38="","",Cleaned_Data!B38)</f>
        <v/>
      </c>
      <c r="C38" s="34">
        <f>IFERROR(IF(Cleaned_Data!A38="","",Config!$B$18*(Cleaned_Data!H38/5)*(Config!$B$15+(1-Config!$B$15)*MIN(1,Cleaned_Data!I38/Config!$B$14))),0)</f>
        <v/>
      </c>
      <c r="D38" s="34">
        <f>IFERROR(IF(Cleaned_Data!A38="","",Config!$B$19*(0.5*MIN(1,Cleaned_Data!M38/(Config!$B$7*1.5))+0.25*IF(Cleaned_Data!O38="Y",1,0)+0.25*IF(Cleaned_Data!N38="Y",1,0))),0)</f>
        <v/>
      </c>
      <c r="E38" s="34">
        <f>IFERROR(IF(Cleaned_Data!A38="","",Config!$B$20*MAX(0,1-ABS(Cleaned_Data!J38-Config!$B$11)/3)),0)</f>
        <v/>
      </c>
      <c r="F38" s="34">
        <f>IFERROR(IF(Cleaned_Data!A38="","",Config!$B$21*MAX(0,1-Cleaned_Data!P38/Config!$B$13)),0)</f>
        <v/>
      </c>
      <c r="G38" s="34">
        <f>IFERROR(IF(Cleaned_Data!A38="","",Config!$B$22*Cleaned_Data!X38),0)</f>
        <v/>
      </c>
      <c r="H38" s="34">
        <f>IFERROR(IF(Cleaned_Data!A38="","",Config!$B$23*(Cleaned_Data!W38/5)),0)</f>
        <v/>
      </c>
      <c r="I38" s="35">
        <f>IF(A38="","",ROUND(SUM(C38:H38),1))</f>
        <v/>
      </c>
      <c r="J38" s="32" t="n"/>
      <c r="K38" s="36">
        <f>IF(AND(Cleaned_Data!Y38="Y",ISNUMBER(I38)),I38+ROW()*0.000001,"")</f>
        <v/>
      </c>
    </row>
    <row r="39" ht="15" customHeight="1" s="22">
      <c r="A39" s="33">
        <f>IF(Cleaned_Data!A39="","",Cleaned_Data!A39)</f>
        <v/>
      </c>
      <c r="B39" s="33">
        <f>IF(Cleaned_Data!B39="","",Cleaned_Data!B39)</f>
        <v/>
      </c>
      <c r="C39" s="34">
        <f>IFERROR(IF(Cleaned_Data!A39="","",Config!$B$18*(Cleaned_Data!H39/5)*(Config!$B$15+(1-Config!$B$15)*MIN(1,Cleaned_Data!I39/Config!$B$14))),0)</f>
        <v/>
      </c>
      <c r="D39" s="34">
        <f>IFERROR(IF(Cleaned_Data!A39="","",Config!$B$19*(0.5*MIN(1,Cleaned_Data!M39/(Config!$B$7*1.5))+0.25*IF(Cleaned_Data!O39="Y",1,0)+0.25*IF(Cleaned_Data!N39="Y",1,0))),0)</f>
        <v/>
      </c>
      <c r="E39" s="34">
        <f>IFERROR(IF(Cleaned_Data!A39="","",Config!$B$20*MAX(0,1-ABS(Cleaned_Data!J39-Config!$B$11)/3)),0)</f>
        <v/>
      </c>
      <c r="F39" s="34">
        <f>IFERROR(IF(Cleaned_Data!A39="","",Config!$B$21*MAX(0,1-Cleaned_Data!P39/Config!$B$13)),0)</f>
        <v/>
      </c>
      <c r="G39" s="34">
        <f>IFERROR(IF(Cleaned_Data!A39="","",Config!$B$22*Cleaned_Data!X39),0)</f>
        <v/>
      </c>
      <c r="H39" s="34">
        <f>IFERROR(IF(Cleaned_Data!A39="","",Config!$B$23*(Cleaned_Data!W39/5)),0)</f>
        <v/>
      </c>
      <c r="I39" s="35">
        <f>IF(A39="","",ROUND(SUM(C39:H39),1))</f>
        <v/>
      </c>
      <c r="J39" s="32" t="n"/>
      <c r="K39" s="36">
        <f>IF(AND(Cleaned_Data!Y39="Y",ISNUMBER(I39)),I39+ROW()*0.000001,"")</f>
        <v/>
      </c>
    </row>
    <row r="40" ht="15" customHeight="1" s="22">
      <c r="A40" s="33">
        <f>IF(Cleaned_Data!A40="","",Cleaned_Data!A40)</f>
        <v/>
      </c>
      <c r="B40" s="33">
        <f>IF(Cleaned_Data!B40="","",Cleaned_Data!B40)</f>
        <v/>
      </c>
      <c r="C40" s="34">
        <f>IFERROR(IF(Cleaned_Data!A40="","",Config!$B$18*(Cleaned_Data!H40/5)*(Config!$B$15+(1-Config!$B$15)*MIN(1,Cleaned_Data!I40/Config!$B$14))),0)</f>
        <v/>
      </c>
      <c r="D40" s="34">
        <f>IFERROR(IF(Cleaned_Data!A40="","",Config!$B$19*(0.5*MIN(1,Cleaned_Data!M40/(Config!$B$7*1.5))+0.25*IF(Cleaned_Data!O40="Y",1,0)+0.25*IF(Cleaned_Data!N40="Y",1,0))),0)</f>
        <v/>
      </c>
      <c r="E40" s="34">
        <f>IFERROR(IF(Cleaned_Data!A40="","",Config!$B$20*MAX(0,1-ABS(Cleaned_Data!J40-Config!$B$11)/3)),0)</f>
        <v/>
      </c>
      <c r="F40" s="34">
        <f>IFERROR(IF(Cleaned_Data!A40="","",Config!$B$21*MAX(0,1-Cleaned_Data!P40/Config!$B$13)),0)</f>
        <v/>
      </c>
      <c r="G40" s="34">
        <f>IFERROR(IF(Cleaned_Data!A40="","",Config!$B$22*Cleaned_Data!X40),0)</f>
        <v/>
      </c>
      <c r="H40" s="34">
        <f>IFERROR(IF(Cleaned_Data!A40="","",Config!$B$23*(Cleaned_Data!W40/5)),0)</f>
        <v/>
      </c>
      <c r="I40" s="35">
        <f>IF(A40="","",ROUND(SUM(C40:H40),1))</f>
        <v/>
      </c>
      <c r="J40" s="32" t="n"/>
      <c r="K40" s="36">
        <f>IF(AND(Cleaned_Data!Y40="Y",ISNUMBER(I40)),I40+ROW()*0.000001,"")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1" min="1" max="1"/>
    <col width="12" customWidth="1" style="21" min="2" max="2"/>
    <col width="20" customWidth="1" style="21" min="3" max="3"/>
    <col width="12" customWidth="1" style="21" min="4" max="4"/>
    <col width="11" customWidth="1" style="21" min="5" max="8"/>
    <col width="16" customWidth="1" style="21" min="9" max="11"/>
    <col width="40" customWidth="1" style="21" min="12" max="12"/>
    <col width="38" customWidth="1" style="21" min="13" max="13"/>
    <col width="22" customWidth="1" style="21" min="14" max="14"/>
    <col width="10" customWidth="1" style="21" min="15" max="15"/>
  </cols>
  <sheetData>
    <row r="1" ht="23.25" customHeight="1" s="22">
      <c r="A1" s="23" t="inlineStr">
        <is>
          <t>rank</t>
        </is>
      </c>
      <c r="B1" s="23" t="inlineStr">
        <is>
          <t>restaurant_id</t>
        </is>
      </c>
      <c r="C1" s="23" t="inlineStr">
        <is>
          <t>name</t>
        </is>
      </c>
      <c r="D1" s="23" t="inlineStr">
        <is>
          <t>total_score</t>
        </is>
      </c>
      <c r="E1" s="23" t="inlineStr">
        <is>
          <t>score_rating</t>
        </is>
      </c>
      <c r="F1" s="23" t="inlineStr">
        <is>
          <t>score_group</t>
        </is>
      </c>
      <c r="G1" s="23" t="inlineStr">
        <is>
          <t>score_price</t>
        </is>
      </c>
      <c r="H1" s="23" t="inlineStr">
        <is>
          <t>score_travel</t>
        </is>
      </c>
      <c r="I1" s="23" t="inlineStr">
        <is>
          <t>score_completeness</t>
        </is>
      </c>
      <c r="J1" s="23" t="inlineStr">
        <is>
          <t>score_uniqueness</t>
        </is>
      </c>
      <c r="K1" s="23" t="inlineStr">
        <is>
          <t>decision_role</t>
        </is>
      </c>
      <c r="L1" s="23" t="inlineStr">
        <is>
          <t>one_line_rationale</t>
        </is>
      </c>
      <c r="M1" s="23" t="inlineStr">
        <is>
          <t>map_link</t>
        </is>
      </c>
      <c r="N1" s="23" t="inlineStr">
        <is>
          <t>booking_link</t>
        </is>
      </c>
      <c r="O1" s="23" t="inlineStr">
        <is>
          <t>match_pos</t>
        </is>
      </c>
    </row>
    <row r="2" ht="15" customHeight="1" s="22">
      <c r="A2" s="37" t="n">
        <v>1</v>
      </c>
      <c r="B2" s="33">
        <f>IF($O2="","",INDEX(Scoring!$A$2:$A$40,$O2))</f>
        <v/>
      </c>
      <c r="C2" s="33">
        <f>IF($O2="","",INDEX(Scoring!$B$2:$B$40,$O2))</f>
        <v/>
      </c>
      <c r="D2" s="34">
        <f>IF($O2="","",INDEX(Scoring!$I$2:$I$40,$O2))</f>
        <v/>
      </c>
      <c r="E2" s="34">
        <f>IF($O2="","",INDEX(Scoring!$C$2:$C$40,$O2))</f>
        <v/>
      </c>
      <c r="F2" s="34">
        <f>IF($O2="","",INDEX(Scoring!$D$2:$D$40,$O2))</f>
        <v/>
      </c>
      <c r="G2" s="34">
        <f>IF($O2="","",INDEX(Scoring!$E$2:$E$40,$O2))</f>
        <v/>
      </c>
      <c r="H2" s="34">
        <f>IF($O2="","",INDEX(Scoring!$F$2:$F$40,$O2))</f>
        <v/>
      </c>
      <c r="I2" s="34">
        <f>IF($O2="","",INDEX(Scoring!$G$2:$G$40,$O2))</f>
        <v/>
      </c>
      <c r="J2" s="34">
        <f>IF($O2="","",INDEX(Scoring!$H$2:$H$40,$O2))</f>
        <v/>
      </c>
      <c r="K2" s="32">
        <f>IF($O2="","",IF(A2=1,"Top Pick","Backup"))</f>
        <v/>
      </c>
      <c r="L2" s="25" t="n"/>
      <c r="M2" s="33">
        <f>IF($O2="","","https://www.google.com/maps/search/?api=1&amp;query="&amp;INDEX(Cleaned_Data!$F$2:$F$40,$O2)&amp;","&amp;INDEX(Cleaned_Data!$G$2:$G$40,$O2))</f>
        <v/>
      </c>
      <c r="N2" s="25" t="n"/>
      <c r="O2" s="36">
        <f>IFERROR(MATCH(LARGE(Scoring!$K$2:$K$40,A2),Scoring!$K$2:$K$40,0),"")</f>
        <v/>
      </c>
    </row>
    <row r="3" ht="15" customHeight="1" s="22">
      <c r="A3" s="37" t="n">
        <v>2</v>
      </c>
      <c r="B3" s="33">
        <f>IF($O3="","",INDEX(Scoring!$A$2:$A$40,$O3))</f>
        <v/>
      </c>
      <c r="C3" s="33">
        <f>IF($O3="","",INDEX(Scoring!$B$2:$B$40,$O3))</f>
        <v/>
      </c>
      <c r="D3" s="34">
        <f>IF($O3="","",INDEX(Scoring!$I$2:$I$40,$O3))</f>
        <v/>
      </c>
      <c r="E3" s="34">
        <f>IF($O3="","",INDEX(Scoring!$C$2:$C$40,$O3))</f>
        <v/>
      </c>
      <c r="F3" s="34">
        <f>IF($O3="","",INDEX(Scoring!$D$2:$D$40,$O3))</f>
        <v/>
      </c>
      <c r="G3" s="34">
        <f>IF($O3="","",INDEX(Scoring!$E$2:$E$40,$O3))</f>
        <v/>
      </c>
      <c r="H3" s="34">
        <f>IF($O3="","",INDEX(Scoring!$F$2:$F$40,$O3))</f>
        <v/>
      </c>
      <c r="I3" s="34">
        <f>IF($O3="","",INDEX(Scoring!$G$2:$G$40,$O3))</f>
        <v/>
      </c>
      <c r="J3" s="34">
        <f>IF($O3="","",INDEX(Scoring!$H$2:$H$40,$O3))</f>
        <v/>
      </c>
      <c r="K3" s="32">
        <f>IF($O3="","",IF(A3=1,"Top Pick","Backup"))</f>
        <v/>
      </c>
      <c r="L3" s="25" t="n"/>
      <c r="M3" s="33">
        <f>IF($O3="","","https://www.google.com/maps/search/?api=1&amp;query="&amp;INDEX(Cleaned_Data!$F$2:$F$40,$O3)&amp;","&amp;INDEX(Cleaned_Data!$G$2:$G$40,$O3))</f>
        <v/>
      </c>
      <c r="N3" s="25" t="n"/>
      <c r="O3" s="36">
        <f>IFERROR(MATCH(LARGE(Scoring!$K$2:$K$40,A3),Scoring!$K$2:$K$40,0),"")</f>
        <v/>
      </c>
    </row>
    <row r="4" ht="15" customHeight="1" s="22">
      <c r="A4" s="37" t="n">
        <v>3</v>
      </c>
      <c r="B4" s="33">
        <f>IF($O4="","",INDEX(Scoring!$A$2:$A$40,$O4))</f>
        <v/>
      </c>
      <c r="C4" s="33">
        <f>IF($O4="","",INDEX(Scoring!$B$2:$B$40,$O4))</f>
        <v/>
      </c>
      <c r="D4" s="34">
        <f>IF($O4="","",INDEX(Scoring!$I$2:$I$40,$O4))</f>
        <v/>
      </c>
      <c r="E4" s="34">
        <f>IF($O4="","",INDEX(Scoring!$C$2:$C$40,$O4))</f>
        <v/>
      </c>
      <c r="F4" s="34">
        <f>IF($O4="","",INDEX(Scoring!$D$2:$D$40,$O4))</f>
        <v/>
      </c>
      <c r="G4" s="34">
        <f>IF($O4="","",INDEX(Scoring!$E$2:$E$40,$O4))</f>
        <v/>
      </c>
      <c r="H4" s="34">
        <f>IF($O4="","",INDEX(Scoring!$F$2:$F$40,$O4))</f>
        <v/>
      </c>
      <c r="I4" s="34">
        <f>IF($O4="","",INDEX(Scoring!$G$2:$G$40,$O4))</f>
        <v/>
      </c>
      <c r="J4" s="34">
        <f>IF($O4="","",INDEX(Scoring!$H$2:$H$40,$O4))</f>
        <v/>
      </c>
      <c r="K4" s="32">
        <f>IF($O4="","",IF(A4=1,"Top Pick","Backup"))</f>
        <v/>
      </c>
      <c r="L4" s="25" t="n"/>
      <c r="M4" s="33">
        <f>IF($O4="","","https://www.google.com/maps/search/?api=1&amp;query="&amp;INDEX(Cleaned_Data!$F$2:$F$40,$O4)&amp;","&amp;INDEX(Cleaned_Data!$G$2:$G$40,$O4))</f>
        <v/>
      </c>
      <c r="N4" s="25" t="n"/>
      <c r="O4" s="36">
        <f>IFERROR(MATCH(LARGE(Scoring!$K$2:$K$40,A4),Scoring!$K$2:$K$40,0),"")</f>
        <v/>
      </c>
    </row>
    <row r="5" ht="15" customHeight="1" s="22">
      <c r="A5" s="37" t="n">
        <v>4</v>
      </c>
      <c r="B5" s="33">
        <f>IF($O5="","",INDEX(Scoring!$A$2:$A$40,$O5))</f>
        <v/>
      </c>
      <c r="C5" s="33">
        <f>IF($O5="","",INDEX(Scoring!$B$2:$B$40,$O5))</f>
        <v/>
      </c>
      <c r="D5" s="34">
        <f>IF($O5="","",INDEX(Scoring!$I$2:$I$40,$O5))</f>
        <v/>
      </c>
      <c r="E5" s="34">
        <f>IF($O5="","",INDEX(Scoring!$C$2:$C$40,$O5))</f>
        <v/>
      </c>
      <c r="F5" s="34">
        <f>IF($O5="","",INDEX(Scoring!$D$2:$D$40,$O5))</f>
        <v/>
      </c>
      <c r="G5" s="34">
        <f>IF($O5="","",INDEX(Scoring!$E$2:$E$40,$O5))</f>
        <v/>
      </c>
      <c r="H5" s="34">
        <f>IF($O5="","",INDEX(Scoring!$F$2:$F$40,$O5))</f>
        <v/>
      </c>
      <c r="I5" s="34">
        <f>IF($O5="","",INDEX(Scoring!$G$2:$G$40,$O5))</f>
        <v/>
      </c>
      <c r="J5" s="34">
        <f>IF($O5="","",INDEX(Scoring!$H$2:$H$40,$O5))</f>
        <v/>
      </c>
      <c r="K5" s="32">
        <f>IF($O5="","",IF(A5=1,"Top Pick","Backup"))</f>
        <v/>
      </c>
      <c r="L5" s="25" t="n"/>
      <c r="M5" s="33">
        <f>IF($O5="","","https://www.google.com/maps/search/?api=1&amp;query="&amp;INDEX(Cleaned_Data!$F$2:$F$40,$O5)&amp;","&amp;INDEX(Cleaned_Data!$G$2:$G$40,$O5))</f>
        <v/>
      </c>
      <c r="N5" s="25" t="n"/>
      <c r="O5" s="36">
        <f>IFERROR(MATCH(LARGE(Scoring!$K$2:$K$40,A5),Scoring!$K$2:$K$40,0),"")</f>
        <v/>
      </c>
    </row>
    <row r="6" ht="15" customHeight="1" s="22">
      <c r="A6" s="37" t="n">
        <v>5</v>
      </c>
      <c r="B6" s="33">
        <f>IF($O6="","",INDEX(Scoring!$A$2:$A$40,$O6))</f>
        <v/>
      </c>
      <c r="C6" s="33">
        <f>IF($O6="","",INDEX(Scoring!$B$2:$B$40,$O6))</f>
        <v/>
      </c>
      <c r="D6" s="34">
        <f>IF($O6="","",INDEX(Scoring!$I$2:$I$40,$O6))</f>
        <v/>
      </c>
      <c r="E6" s="34">
        <f>IF($O6="","",INDEX(Scoring!$C$2:$C$40,$O6))</f>
        <v/>
      </c>
      <c r="F6" s="34">
        <f>IF($O6="","",INDEX(Scoring!$D$2:$D$40,$O6))</f>
        <v/>
      </c>
      <c r="G6" s="34">
        <f>IF($O6="","",INDEX(Scoring!$E$2:$E$40,$O6))</f>
        <v/>
      </c>
      <c r="H6" s="34">
        <f>IF($O6="","",INDEX(Scoring!$F$2:$F$40,$O6))</f>
        <v/>
      </c>
      <c r="I6" s="34">
        <f>IF($O6="","",INDEX(Scoring!$G$2:$G$40,$O6))</f>
        <v/>
      </c>
      <c r="J6" s="34">
        <f>IF($O6="","",INDEX(Scoring!$H$2:$H$40,$O6))</f>
        <v/>
      </c>
      <c r="K6" s="32">
        <f>IF($O6="","",IF(A6=1,"Top Pick","Backup"))</f>
        <v/>
      </c>
      <c r="L6" s="25" t="n"/>
      <c r="M6" s="33">
        <f>IF($O6="","","https://www.google.com/maps/search/?api=1&amp;query="&amp;INDEX(Cleaned_Data!$F$2:$F$40,$O6)&amp;","&amp;INDEX(Cleaned_Data!$G$2:$G$40,$O6))</f>
        <v/>
      </c>
      <c r="N6" s="25" t="n"/>
      <c r="O6" s="36">
        <f>IFERROR(MATCH(LARGE(Scoring!$K$2:$K$40,A6),Scoring!$K$2:$K$40,0),"")</f>
        <v/>
      </c>
    </row>
    <row r="7" ht="15" customHeight="1" s="22">
      <c r="A7" s="37" t="n">
        <v>6</v>
      </c>
      <c r="B7" s="33">
        <f>IF($O7="","",INDEX(Scoring!$A$2:$A$40,$O7))</f>
        <v/>
      </c>
      <c r="C7" s="33">
        <f>IF($O7="","",INDEX(Scoring!$B$2:$B$40,$O7))</f>
        <v/>
      </c>
      <c r="D7" s="34">
        <f>IF($O7="","",INDEX(Scoring!$I$2:$I$40,$O7))</f>
        <v/>
      </c>
      <c r="E7" s="34">
        <f>IF($O7="","",INDEX(Scoring!$C$2:$C$40,$O7))</f>
        <v/>
      </c>
      <c r="F7" s="34">
        <f>IF($O7="","",INDEX(Scoring!$D$2:$D$40,$O7))</f>
        <v/>
      </c>
      <c r="G7" s="34">
        <f>IF($O7="","",INDEX(Scoring!$E$2:$E$40,$O7))</f>
        <v/>
      </c>
      <c r="H7" s="34">
        <f>IF($O7="","",INDEX(Scoring!$F$2:$F$40,$O7))</f>
        <v/>
      </c>
      <c r="I7" s="34">
        <f>IF($O7="","",INDEX(Scoring!$G$2:$G$40,$O7))</f>
        <v/>
      </c>
      <c r="J7" s="34">
        <f>IF($O7="","",INDEX(Scoring!$H$2:$H$40,$O7))</f>
        <v/>
      </c>
      <c r="K7" s="32">
        <f>IF($O7="","",IF(A7=1,"Top Pick","Backup"))</f>
        <v/>
      </c>
      <c r="L7" s="25" t="n"/>
      <c r="M7" s="33">
        <f>IF($O7="","","https://www.google.com/maps/search/?api=1&amp;query="&amp;INDEX(Cleaned_Data!$F$2:$F$40,$O7)&amp;","&amp;INDEX(Cleaned_Data!$G$2:$G$40,$O7))</f>
        <v/>
      </c>
      <c r="N7" s="25" t="n"/>
      <c r="O7" s="36">
        <f>IFERROR(MATCH(LARGE(Scoring!$K$2:$K$40,A7),Scoring!$K$2:$K$40,0),"")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S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21" min="1" max="1"/>
    <col width="20" customWidth="1" style="21" min="2" max="2"/>
    <col width="12" customWidth="1" style="21" min="3" max="3"/>
    <col width="11" customWidth="1" style="21" min="4" max="7"/>
    <col width="16" customWidth="1" style="21" min="8" max="9"/>
    <col width="14" customWidth="1" style="21" min="10" max="11"/>
    <col width="10" customWidth="1" style="21" min="12" max="12"/>
    <col width="16" customWidth="1" style="21" min="13" max="14"/>
    <col width="30" customWidth="1" style="21" min="15" max="15"/>
    <col width="38" customWidth="1" style="21" min="16" max="16"/>
    <col width="22" customWidth="1" style="21" min="17" max="18"/>
    <col width="40" customWidth="1" style="21" min="19" max="19"/>
  </cols>
  <sheetData>
    <row r="1" ht="15" customHeight="1" s="22">
      <c r="A1" s="23" t="inlineStr">
        <is>
          <t>field</t>
        </is>
      </c>
      <c r="B1" s="23" t="inlineStr">
        <is>
          <t>value</t>
        </is>
      </c>
    </row>
    <row r="2" ht="23.25" customHeight="1" s="22">
      <c r="A2" s="38" t="inlineStr">
        <is>
          <t>report_title</t>
        </is>
      </c>
      <c r="B2" s="39">
        <f>Config!$B$2</f>
        <v/>
      </c>
    </row>
    <row r="3" ht="23.25" customHeight="1" s="22">
      <c r="A3" s="38" t="inlineStr">
        <is>
          <t>team_size</t>
        </is>
      </c>
      <c r="B3" s="39">
        <f>Config!$B$7</f>
        <v/>
      </c>
    </row>
    <row r="4" ht="34.5" customHeight="1" s="22">
      <c r="A4" s="38" t="inlineStr">
        <is>
          <t>base_location</t>
        </is>
      </c>
      <c r="B4" s="39">
        <f>Config!$B$3</f>
        <v/>
      </c>
    </row>
    <row r="5" ht="34.5" customHeight="1" s="22">
      <c r="A5" s="38" t="inlineStr">
        <is>
          <t>generated_at</t>
        </is>
      </c>
      <c r="B5" s="39">
        <f>Config!$B$16</f>
        <v/>
      </c>
    </row>
    <row r="6" ht="23.25" customHeight="1" s="22">
      <c r="A6" s="38" t="inlineStr">
        <is>
          <t>ai_insights</t>
        </is>
      </c>
      <c r="B6" s="40" t="n"/>
    </row>
    <row r="7" ht="23.25" customHeight="1" s="22">
      <c r="A7" s="38" t="inlineStr">
        <is>
          <t>ai_tradeoffs</t>
        </is>
      </c>
      <c r="B7" s="40" t="n"/>
    </row>
    <row r="9" ht="23.25" customHeight="1" s="22">
      <c r="A9" s="23" t="inlineStr">
        <is>
          <t>rank</t>
        </is>
      </c>
      <c r="B9" s="23" t="inlineStr">
        <is>
          <t>name</t>
        </is>
      </c>
      <c r="C9" s="23" t="inlineStr">
        <is>
          <t>total_score</t>
        </is>
      </c>
      <c r="D9" s="23" t="inlineStr">
        <is>
          <t>score_rating</t>
        </is>
      </c>
      <c r="E9" s="23" t="inlineStr">
        <is>
          <t>score_group</t>
        </is>
      </c>
      <c r="F9" s="23" t="inlineStr">
        <is>
          <t>score_price</t>
        </is>
      </c>
      <c r="G9" s="23" t="inlineStr">
        <is>
          <t>score_travel</t>
        </is>
      </c>
      <c r="H9" s="23" t="inlineStr">
        <is>
          <t>score_completeness</t>
        </is>
      </c>
      <c r="I9" s="23" t="inlineStr">
        <is>
          <t>score_uniqueness</t>
        </is>
      </c>
      <c r="J9" s="23" t="inlineStr">
        <is>
          <t>price_per_head</t>
        </is>
      </c>
      <c r="K9" s="23" t="inlineStr">
        <is>
          <t>travel_time_min</t>
        </is>
      </c>
      <c r="L9" s="23" t="inlineStr">
        <is>
          <t>rating_avg</t>
        </is>
      </c>
      <c r="M9" s="23" t="inlineStr">
        <is>
          <t>review_count_total</t>
        </is>
      </c>
      <c r="N9" s="23" t="inlineStr">
        <is>
          <t>cuisine</t>
        </is>
      </c>
      <c r="O9" s="23" t="inlineStr">
        <is>
          <t>signature_features</t>
        </is>
      </c>
      <c r="P9" s="23" t="inlineStr">
        <is>
          <t>map_link</t>
        </is>
      </c>
      <c r="Q9" s="23" t="inlineStr">
        <is>
          <t>booking_link</t>
        </is>
      </c>
      <c r="R9" s="23" t="inlineStr">
        <is>
          <t>photo_url</t>
        </is>
      </c>
      <c r="S9" s="23" t="inlineStr">
        <is>
          <t>ai_rationale</t>
        </is>
      </c>
    </row>
    <row r="10" ht="15" customHeight="1" s="22">
      <c r="A10" s="41">
        <f>IF(Ranking!$C2="","",Ranking!A2)</f>
        <v/>
      </c>
      <c r="B10" s="33">
        <f>IF(Ranking!$C2="","",Ranking!C2)</f>
        <v/>
      </c>
      <c r="C10" s="34">
        <f>IF(Ranking!$C2="","",Ranking!D2)</f>
        <v/>
      </c>
      <c r="D10" s="34">
        <f>IF(Ranking!$C2="","",Ranking!E2)</f>
        <v/>
      </c>
      <c r="E10" s="34">
        <f>IF(Ranking!$C2="","",Ranking!F2)</f>
        <v/>
      </c>
      <c r="F10" s="34">
        <f>IF(Ranking!$C2="","",Ranking!G2)</f>
        <v/>
      </c>
      <c r="G10" s="34">
        <f>IF(Ranking!$C2="","",Ranking!H2)</f>
        <v/>
      </c>
      <c r="H10" s="34">
        <f>IF(Ranking!$C2="","",Ranking!I2)</f>
        <v/>
      </c>
      <c r="I10" s="34">
        <f>IF(Ranking!$C2="","",Ranking!J2)</f>
        <v/>
      </c>
      <c r="J10" s="33">
        <f>IF(Ranking!$O2="","",INDEX(Cleaned_Data!$K$2:$K$40,Ranking!$O2))</f>
        <v/>
      </c>
      <c r="K10" s="33">
        <f>IF(Ranking!$O2="","",INDEX(Cleaned_Data!$P$2:$P$40,Ranking!$O2))</f>
        <v/>
      </c>
      <c r="L10" s="34">
        <f>IF(Ranking!$O2="","",INDEX(Cleaned_Data!$H$2:$H$40,Ranking!$O2))</f>
        <v/>
      </c>
      <c r="M10" s="33">
        <f>IF(Ranking!$O2="","",INDEX(Cleaned_Data!$I$2:$I$40,Ranking!$O2))</f>
        <v/>
      </c>
      <c r="N10" s="33">
        <f>IF(Ranking!$O2="","",INDEX(Cleaned_Data!$L$2:$L$40,Ranking!$O2))</f>
        <v/>
      </c>
      <c r="O10" s="33">
        <f>IF(Ranking!$O2="","",INDEX(Cleaned_Data!$V$2:$V$40,Ranking!$O2))</f>
        <v/>
      </c>
      <c r="P10" s="33">
        <f>IF(Ranking!$C2="","",Ranking!M2)</f>
        <v/>
      </c>
      <c r="Q10" s="33">
        <f>IF(Ranking!$C2="","",Ranking!N2)</f>
        <v/>
      </c>
      <c r="R10" s="33">
        <f>IF(Ranking!$O2="","",INDEX(Cleaned_Data!$U$2:$U$40,Ranking!$O2))</f>
        <v/>
      </c>
      <c r="S10" s="33">
        <f>IF(Ranking!$C2="","",Ranking!L2)</f>
        <v/>
      </c>
    </row>
    <row r="11" ht="15" customHeight="1" s="22">
      <c r="A11" s="41">
        <f>IF(Ranking!$C3="","",Ranking!A3)</f>
        <v/>
      </c>
      <c r="B11" s="33">
        <f>IF(Ranking!$C3="","",Ranking!C3)</f>
        <v/>
      </c>
      <c r="C11" s="34">
        <f>IF(Ranking!$C3="","",Ranking!D3)</f>
        <v/>
      </c>
      <c r="D11" s="34">
        <f>IF(Ranking!$C3="","",Ranking!E3)</f>
        <v/>
      </c>
      <c r="E11" s="34">
        <f>IF(Ranking!$C3="","",Ranking!F3)</f>
        <v/>
      </c>
      <c r="F11" s="34">
        <f>IF(Ranking!$C3="","",Ranking!G3)</f>
        <v/>
      </c>
      <c r="G11" s="34">
        <f>IF(Ranking!$C3="","",Ranking!H3)</f>
        <v/>
      </c>
      <c r="H11" s="34">
        <f>IF(Ranking!$C3="","",Ranking!I3)</f>
        <v/>
      </c>
      <c r="I11" s="34">
        <f>IF(Ranking!$C3="","",Ranking!J3)</f>
        <v/>
      </c>
      <c r="J11" s="33">
        <f>IF(Ranking!$O3="","",INDEX(Cleaned_Data!$K$2:$K$40,Ranking!$O3))</f>
        <v/>
      </c>
      <c r="K11" s="33">
        <f>IF(Ranking!$O3="","",INDEX(Cleaned_Data!$P$2:$P$40,Ranking!$O3))</f>
        <v/>
      </c>
      <c r="L11" s="34">
        <f>IF(Ranking!$O3="","",INDEX(Cleaned_Data!$H$2:$H$40,Ranking!$O3))</f>
        <v/>
      </c>
      <c r="M11" s="33">
        <f>IF(Ranking!$O3="","",INDEX(Cleaned_Data!$I$2:$I$40,Ranking!$O3))</f>
        <v/>
      </c>
      <c r="N11" s="33">
        <f>IF(Ranking!$O3="","",INDEX(Cleaned_Data!$L$2:$L$40,Ranking!$O3))</f>
        <v/>
      </c>
      <c r="O11" s="33">
        <f>IF(Ranking!$O3="","",INDEX(Cleaned_Data!$V$2:$V$40,Ranking!$O3))</f>
        <v/>
      </c>
      <c r="P11" s="33">
        <f>IF(Ranking!$C3="","",Ranking!M3)</f>
        <v/>
      </c>
      <c r="Q11" s="33">
        <f>IF(Ranking!$C3="","",Ranking!N3)</f>
        <v/>
      </c>
      <c r="R11" s="33">
        <f>IF(Ranking!$O3="","",INDEX(Cleaned_Data!$U$2:$U$40,Ranking!$O3))</f>
        <v/>
      </c>
      <c r="S11" s="33">
        <f>IF(Ranking!$C3="","",Ranking!L3)</f>
        <v/>
      </c>
    </row>
    <row r="12" ht="15" customHeight="1" s="22">
      <c r="A12" s="41">
        <f>IF(Ranking!$C4="","",Ranking!A4)</f>
        <v/>
      </c>
      <c r="B12" s="33">
        <f>IF(Ranking!$C4="","",Ranking!C4)</f>
        <v/>
      </c>
      <c r="C12" s="34">
        <f>IF(Ranking!$C4="","",Ranking!D4)</f>
        <v/>
      </c>
      <c r="D12" s="34">
        <f>IF(Ranking!$C4="","",Ranking!E4)</f>
        <v/>
      </c>
      <c r="E12" s="34">
        <f>IF(Ranking!$C4="","",Ranking!F4)</f>
        <v/>
      </c>
      <c r="F12" s="34">
        <f>IF(Ranking!$C4="","",Ranking!G4)</f>
        <v/>
      </c>
      <c r="G12" s="34">
        <f>IF(Ranking!$C4="","",Ranking!H4)</f>
        <v/>
      </c>
      <c r="H12" s="34">
        <f>IF(Ranking!$C4="","",Ranking!I4)</f>
        <v/>
      </c>
      <c r="I12" s="34">
        <f>IF(Ranking!$C4="","",Ranking!J4)</f>
        <v/>
      </c>
      <c r="J12" s="33">
        <f>IF(Ranking!$O4="","",INDEX(Cleaned_Data!$K$2:$K$40,Ranking!$O4))</f>
        <v/>
      </c>
      <c r="K12" s="33">
        <f>IF(Ranking!$O4="","",INDEX(Cleaned_Data!$P$2:$P$40,Ranking!$O4))</f>
        <v/>
      </c>
      <c r="L12" s="34">
        <f>IF(Ranking!$O4="","",INDEX(Cleaned_Data!$H$2:$H$40,Ranking!$O4))</f>
        <v/>
      </c>
      <c r="M12" s="33">
        <f>IF(Ranking!$O4="","",INDEX(Cleaned_Data!$I$2:$I$40,Ranking!$O4))</f>
        <v/>
      </c>
      <c r="N12" s="33">
        <f>IF(Ranking!$O4="","",INDEX(Cleaned_Data!$L$2:$L$40,Ranking!$O4))</f>
        <v/>
      </c>
      <c r="O12" s="33">
        <f>IF(Ranking!$O4="","",INDEX(Cleaned_Data!$V$2:$V$40,Ranking!$O4))</f>
        <v/>
      </c>
      <c r="P12" s="33">
        <f>IF(Ranking!$C4="","",Ranking!M4)</f>
        <v/>
      </c>
      <c r="Q12" s="33">
        <f>IF(Ranking!$C4="","",Ranking!N4)</f>
        <v/>
      </c>
      <c r="R12" s="33">
        <f>IF(Ranking!$O4="","",INDEX(Cleaned_Data!$U$2:$U$40,Ranking!$O4))</f>
        <v/>
      </c>
      <c r="S12" s="33">
        <f>IF(Ranking!$C4="","",Ranking!L4)</f>
        <v/>
      </c>
    </row>
    <row r="13" ht="15" customHeight="1" s="22">
      <c r="A13" s="41">
        <f>IF(Ranking!$C5="","",Ranking!A5)</f>
        <v/>
      </c>
      <c r="B13" s="33">
        <f>IF(Ranking!$C5="","",Ranking!C5)</f>
        <v/>
      </c>
      <c r="C13" s="34">
        <f>IF(Ranking!$C5="","",Ranking!D5)</f>
        <v/>
      </c>
      <c r="D13" s="34">
        <f>IF(Ranking!$C5="","",Ranking!E5)</f>
        <v/>
      </c>
      <c r="E13" s="34">
        <f>IF(Ranking!$C5="","",Ranking!F5)</f>
        <v/>
      </c>
      <c r="F13" s="34">
        <f>IF(Ranking!$C5="","",Ranking!G5)</f>
        <v/>
      </c>
      <c r="G13" s="34">
        <f>IF(Ranking!$C5="","",Ranking!H5)</f>
        <v/>
      </c>
      <c r="H13" s="34">
        <f>IF(Ranking!$C5="","",Ranking!I5)</f>
        <v/>
      </c>
      <c r="I13" s="34">
        <f>IF(Ranking!$C5="","",Ranking!J5)</f>
        <v/>
      </c>
      <c r="J13" s="33">
        <f>IF(Ranking!$O5="","",INDEX(Cleaned_Data!$K$2:$K$40,Ranking!$O5))</f>
        <v/>
      </c>
      <c r="K13" s="33">
        <f>IF(Ranking!$O5="","",INDEX(Cleaned_Data!$P$2:$P$40,Ranking!$O5))</f>
        <v/>
      </c>
      <c r="L13" s="34">
        <f>IF(Ranking!$O5="","",INDEX(Cleaned_Data!$H$2:$H$40,Ranking!$O5))</f>
        <v/>
      </c>
      <c r="M13" s="33">
        <f>IF(Ranking!$O5="","",INDEX(Cleaned_Data!$I$2:$I$40,Ranking!$O5))</f>
        <v/>
      </c>
      <c r="N13" s="33">
        <f>IF(Ranking!$O5="","",INDEX(Cleaned_Data!$L$2:$L$40,Ranking!$O5))</f>
        <v/>
      </c>
      <c r="O13" s="33">
        <f>IF(Ranking!$O5="","",INDEX(Cleaned_Data!$V$2:$V$40,Ranking!$O5))</f>
        <v/>
      </c>
      <c r="P13" s="33">
        <f>IF(Ranking!$C5="","",Ranking!M5)</f>
        <v/>
      </c>
      <c r="Q13" s="33">
        <f>IF(Ranking!$C5="","",Ranking!N5)</f>
        <v/>
      </c>
      <c r="R13" s="33">
        <f>IF(Ranking!$O5="","",INDEX(Cleaned_Data!$U$2:$U$40,Ranking!$O5))</f>
        <v/>
      </c>
      <c r="S13" s="33">
        <f>IF(Ranking!$C5="","",Ranking!L5)</f>
        <v/>
      </c>
    </row>
    <row r="14" ht="15" customHeight="1" s="22">
      <c r="A14" s="41">
        <f>IF(Ranking!$C6="","",Ranking!A6)</f>
        <v/>
      </c>
      <c r="B14" s="33">
        <f>IF(Ranking!$C6="","",Ranking!C6)</f>
        <v/>
      </c>
      <c r="C14" s="34">
        <f>IF(Ranking!$C6="","",Ranking!D6)</f>
        <v/>
      </c>
      <c r="D14" s="34">
        <f>IF(Ranking!$C6="","",Ranking!E6)</f>
        <v/>
      </c>
      <c r="E14" s="34">
        <f>IF(Ranking!$C6="","",Ranking!F6)</f>
        <v/>
      </c>
      <c r="F14" s="34">
        <f>IF(Ranking!$C6="","",Ranking!G6)</f>
        <v/>
      </c>
      <c r="G14" s="34">
        <f>IF(Ranking!$C6="","",Ranking!H6)</f>
        <v/>
      </c>
      <c r="H14" s="34">
        <f>IF(Ranking!$C6="","",Ranking!I6)</f>
        <v/>
      </c>
      <c r="I14" s="34">
        <f>IF(Ranking!$C6="","",Ranking!J6)</f>
        <v/>
      </c>
      <c r="J14" s="33">
        <f>IF(Ranking!$O6="","",INDEX(Cleaned_Data!$K$2:$K$40,Ranking!$O6))</f>
        <v/>
      </c>
      <c r="K14" s="33">
        <f>IF(Ranking!$O6="","",INDEX(Cleaned_Data!$P$2:$P$40,Ranking!$O6))</f>
        <v/>
      </c>
      <c r="L14" s="34">
        <f>IF(Ranking!$O6="","",INDEX(Cleaned_Data!$H$2:$H$40,Ranking!$O6))</f>
        <v/>
      </c>
      <c r="M14" s="33">
        <f>IF(Ranking!$O6="","",INDEX(Cleaned_Data!$I$2:$I$40,Ranking!$O6))</f>
        <v/>
      </c>
      <c r="N14" s="33">
        <f>IF(Ranking!$O6="","",INDEX(Cleaned_Data!$L$2:$L$40,Ranking!$O6))</f>
        <v/>
      </c>
      <c r="O14" s="33">
        <f>IF(Ranking!$O6="","",INDEX(Cleaned_Data!$V$2:$V$40,Ranking!$O6))</f>
        <v/>
      </c>
      <c r="P14" s="33">
        <f>IF(Ranking!$C6="","",Ranking!M6)</f>
        <v/>
      </c>
      <c r="Q14" s="33">
        <f>IF(Ranking!$C6="","",Ranking!N6)</f>
        <v/>
      </c>
      <c r="R14" s="33">
        <f>IF(Ranking!$O6="","",INDEX(Cleaned_Data!$U$2:$U$40,Ranking!$O6))</f>
        <v/>
      </c>
      <c r="S14" s="33">
        <f>IF(Ranking!$C6="","",Ranking!L6)</f>
        <v/>
      </c>
    </row>
    <row r="15" ht="15" customHeight="1" s="22">
      <c r="A15" s="41">
        <f>IF(Ranking!$C7="","",Ranking!A7)</f>
        <v/>
      </c>
      <c r="B15" s="33">
        <f>IF(Ranking!$C7="","",Ranking!C7)</f>
        <v/>
      </c>
      <c r="C15" s="34">
        <f>IF(Ranking!$C7="","",Ranking!D7)</f>
        <v/>
      </c>
      <c r="D15" s="34">
        <f>IF(Ranking!$C7="","",Ranking!E7)</f>
        <v/>
      </c>
      <c r="E15" s="34">
        <f>IF(Ranking!$C7="","",Ranking!F7)</f>
        <v/>
      </c>
      <c r="F15" s="34">
        <f>IF(Ranking!$C7="","",Ranking!G7)</f>
        <v/>
      </c>
      <c r="G15" s="34">
        <f>IF(Ranking!$C7="","",Ranking!H7)</f>
        <v/>
      </c>
      <c r="H15" s="34">
        <f>IF(Ranking!$C7="","",Ranking!I7)</f>
        <v/>
      </c>
      <c r="I15" s="34">
        <f>IF(Ranking!$C7="","",Ranking!J7)</f>
        <v/>
      </c>
      <c r="J15" s="33">
        <f>IF(Ranking!$O7="","",INDEX(Cleaned_Data!$K$2:$K$40,Ranking!$O7))</f>
        <v/>
      </c>
      <c r="K15" s="33">
        <f>IF(Ranking!$O7="","",INDEX(Cleaned_Data!$P$2:$P$40,Ranking!$O7))</f>
        <v/>
      </c>
      <c r="L15" s="34">
        <f>IF(Ranking!$O7="","",INDEX(Cleaned_Data!$H$2:$H$40,Ranking!$O7))</f>
        <v/>
      </c>
      <c r="M15" s="33">
        <f>IF(Ranking!$O7="","",INDEX(Cleaned_Data!$I$2:$I$40,Ranking!$O7))</f>
        <v/>
      </c>
      <c r="N15" s="33">
        <f>IF(Ranking!$O7="","",INDEX(Cleaned_Data!$L$2:$L$40,Ranking!$O7))</f>
        <v/>
      </c>
      <c r="O15" s="33">
        <f>IF(Ranking!$O7="","",INDEX(Cleaned_Data!$V$2:$V$40,Ranking!$O7))</f>
        <v/>
      </c>
      <c r="P15" s="33">
        <f>IF(Ranking!$C7="","",Ranking!M7)</f>
        <v/>
      </c>
      <c r="Q15" s="33">
        <f>IF(Ranking!$C7="","",Ranking!N7)</f>
        <v/>
      </c>
      <c r="R15" s="33">
        <f>IF(Ranking!$O7="","",INDEX(Cleaned_Data!$U$2:$U$40,Ranking!$O7))</f>
        <v/>
      </c>
      <c r="S15" s="33">
        <f>IF(Ranking!$C7="","",Ranking!L7)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2026-06-03T07:11:39Z</dcterms:created>
  <dcterms:modified xmlns:dcterms="http://purl.org/dc/terms/" xmlns:xsi="http://www.w3.org/2001/XMLSchema-instance" xsi:type="dcterms:W3CDTF">2026-06-03T08:51:29Z</dcterms:modified>
  <cp:revision>0</cp:revision>
</cp:coreProperties>
</file>